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ae1b1c6927fd778a/Documenten/Yasmina PhD_2025/MANUSCRIPT_HBB-SC/SUBMISSION/"/>
    </mc:Choice>
  </mc:AlternateContent>
  <xr:revisionPtr revIDLastSave="0" documentId="10_ncr:8000_{2C6E5EE9-493B-4880-8942-440A31B070F8}" xr6:coauthVersionLast="47" xr6:coauthVersionMax="47" xr10:uidLastSave="{00000000-0000-0000-0000-000000000000}"/>
  <bookViews>
    <workbookView xWindow="-108" yWindow="-108" windowWidth="23256" windowHeight="12456" xr2:uid="{EA823803-CE7C-440A-BBC2-7F96A75A5A48}"/>
  </bookViews>
  <sheets>
    <sheet name="evSCAs" sheetId="1" r:id="rId1"/>
    <sheet name="evSCAs - Data dictionary" sheetId="11" r:id="rId2"/>
    <sheet name="ivSCAs" sheetId="2" r:id="rId3"/>
    <sheet name="ivSCAs - LM staging data" sheetId="7" r:id="rId4"/>
    <sheet name="ivSCAs-DelayAge_35-40hpi_G0" sheetId="8" r:id="rId5"/>
    <sheet name="ivSCAs-DelayAge_35-40hpi_G1" sheetId="9" r:id="rId6"/>
    <sheet name="ivSCAs-SupplementaryTable2 data" sheetId="13" r:id="rId7"/>
    <sheet name="ivSCAs - Data dictionary" sheetId="12" r:id="rId8"/>
    <sheet name="Ig detection" sheetId="3" r:id="rId9"/>
    <sheet name="Ig detection- Data dictionary" sheetId="6"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3" l="1"/>
  <c r="AQ4" i="2"/>
  <c r="AR32" i="2" s="1"/>
  <c r="AR5" i="2"/>
  <c r="AR29" i="2"/>
  <c r="AR30" i="2"/>
  <c r="AR31" i="2"/>
  <c r="H5" i="13"/>
  <c r="H6" i="13"/>
  <c r="H7" i="13"/>
  <c r="H8" i="13"/>
  <c r="H9" i="13"/>
  <c r="H10" i="13"/>
  <c r="H11" i="13"/>
  <c r="H12" i="13"/>
  <c r="H13" i="13"/>
  <c r="H14" i="13"/>
  <c r="S56" i="13"/>
  <c r="R56" i="13"/>
  <c r="Q56" i="13"/>
  <c r="P56" i="13"/>
  <c r="N56" i="13"/>
  <c r="S55" i="13"/>
  <c r="R55" i="13"/>
  <c r="Q55" i="13"/>
  <c r="P55" i="13"/>
  <c r="N55" i="13"/>
  <c r="S54" i="13"/>
  <c r="R54" i="13"/>
  <c r="Q54" i="13"/>
  <c r="P54" i="13"/>
  <c r="N54" i="13"/>
  <c r="S53" i="13"/>
  <c r="R53" i="13"/>
  <c r="Q53" i="13"/>
  <c r="P53" i="13"/>
  <c r="N53" i="13"/>
  <c r="S52" i="13"/>
  <c r="R52" i="13"/>
  <c r="Q52" i="13"/>
  <c r="P52" i="13"/>
  <c r="N52" i="13"/>
  <c r="S49" i="13"/>
  <c r="R49" i="13"/>
  <c r="Q49" i="13"/>
  <c r="P49" i="13"/>
  <c r="N49" i="13"/>
  <c r="H49" i="13"/>
  <c r="E49" i="13"/>
  <c r="I49" i="13" s="1"/>
  <c r="K49" i="13"/>
  <c r="G49" i="13"/>
  <c r="J49" i="13"/>
  <c r="S48" i="13"/>
  <c r="R48" i="13"/>
  <c r="Q48" i="13"/>
  <c r="P48" i="13"/>
  <c r="N48" i="13"/>
  <c r="H48" i="13"/>
  <c r="E48" i="13"/>
  <c r="K48" i="13"/>
  <c r="G48" i="13"/>
  <c r="J48" i="13"/>
  <c r="I48" i="13"/>
  <c r="S47" i="13"/>
  <c r="R47" i="13"/>
  <c r="Q47" i="13"/>
  <c r="P47" i="13"/>
  <c r="N47" i="13"/>
  <c r="H47" i="13"/>
  <c r="E47" i="13"/>
  <c r="G47" i="13"/>
  <c r="J47" i="13"/>
  <c r="F47" i="13"/>
  <c r="I47" i="13"/>
  <c r="S46" i="13"/>
  <c r="R46" i="13"/>
  <c r="Q46" i="13"/>
  <c r="P46" i="13"/>
  <c r="N46" i="13"/>
  <c r="E46" i="13"/>
  <c r="K46" i="13" s="1"/>
  <c r="G46" i="13"/>
  <c r="F46" i="13"/>
  <c r="S45" i="13"/>
  <c r="R45" i="13"/>
  <c r="Q45" i="13"/>
  <c r="P45" i="13"/>
  <c r="N45" i="13"/>
  <c r="E45" i="13"/>
  <c r="J45" i="13" s="1"/>
  <c r="K45" i="13"/>
  <c r="F45" i="13"/>
  <c r="S43" i="13"/>
  <c r="R43" i="13"/>
  <c r="Q43" i="13"/>
  <c r="P43" i="13"/>
  <c r="N43" i="13"/>
  <c r="S42" i="13"/>
  <c r="R42" i="13"/>
  <c r="Q42" i="13"/>
  <c r="P42" i="13"/>
  <c r="N42" i="13"/>
  <c r="S41" i="13"/>
  <c r="R41" i="13"/>
  <c r="Q41" i="13"/>
  <c r="P41" i="13"/>
  <c r="N41" i="13"/>
  <c r="S40" i="13"/>
  <c r="R40" i="13"/>
  <c r="Q40" i="13"/>
  <c r="P40" i="13"/>
  <c r="N40" i="13"/>
  <c r="S39" i="13"/>
  <c r="R39" i="13"/>
  <c r="Q39" i="13"/>
  <c r="P39" i="13"/>
  <c r="N39" i="13"/>
  <c r="S37" i="13"/>
  <c r="R37" i="13"/>
  <c r="Q37" i="13"/>
  <c r="P37" i="13"/>
  <c r="N37" i="13"/>
  <c r="I37" i="13"/>
  <c r="H37" i="13"/>
  <c r="S36" i="13"/>
  <c r="R36" i="13"/>
  <c r="Q36" i="13"/>
  <c r="P36" i="13"/>
  <c r="N36" i="13"/>
  <c r="I36" i="13"/>
  <c r="H36" i="13"/>
  <c r="S35" i="13"/>
  <c r="R35" i="13"/>
  <c r="Q35" i="13"/>
  <c r="P35" i="13"/>
  <c r="N35" i="13"/>
  <c r="I35" i="13"/>
  <c r="H35" i="13"/>
  <c r="S34" i="13"/>
  <c r="R34" i="13"/>
  <c r="Q34" i="13"/>
  <c r="P34" i="13"/>
  <c r="N34" i="13"/>
  <c r="I34" i="13"/>
  <c r="H34" i="13"/>
  <c r="S33" i="13"/>
  <c r="R33" i="13"/>
  <c r="Q33" i="13"/>
  <c r="P33" i="13"/>
  <c r="N33" i="13"/>
  <c r="I33" i="13"/>
  <c r="H33" i="13"/>
  <c r="I32" i="13"/>
  <c r="H32" i="13"/>
  <c r="I31" i="13"/>
  <c r="H31" i="13"/>
  <c r="I26" i="13"/>
  <c r="I27" i="13"/>
  <c r="I28" i="13"/>
  <c r="I29" i="13"/>
  <c r="I30" i="13"/>
  <c r="H30" i="13"/>
  <c r="I24" i="13"/>
  <c r="S29" i="13" s="1"/>
  <c r="I25" i="13"/>
  <c r="H29" i="13"/>
  <c r="I20" i="13"/>
  <c r="I21" i="13"/>
  <c r="I22" i="13"/>
  <c r="I23" i="13"/>
  <c r="H28" i="13"/>
  <c r="I15" i="13"/>
  <c r="I16" i="13"/>
  <c r="I17" i="13"/>
  <c r="I18" i="13"/>
  <c r="I19" i="13"/>
  <c r="H27" i="13"/>
  <c r="I4" i="13"/>
  <c r="I5" i="13"/>
  <c r="I10" i="13"/>
  <c r="I6" i="13"/>
  <c r="I11" i="13"/>
  <c r="I12" i="13"/>
  <c r="I7" i="13"/>
  <c r="I8" i="13"/>
  <c r="I9" i="13"/>
  <c r="I13" i="13"/>
  <c r="H26" i="13"/>
  <c r="H25" i="13"/>
  <c r="H24" i="13"/>
  <c r="H23" i="13"/>
  <c r="H20" i="13"/>
  <c r="H21" i="13"/>
  <c r="H22" i="13"/>
  <c r="H15" i="13"/>
  <c r="S21" i="13" s="1"/>
  <c r="H16" i="13"/>
  <c r="H17" i="13"/>
  <c r="H18" i="13"/>
  <c r="H19" i="13"/>
  <c r="I14" i="13"/>
  <c r="AH5" i="2"/>
  <c r="AM5" i="2" s="1"/>
  <c r="AN5" i="2"/>
  <c r="AH6" i="2"/>
  <c r="AM6" i="2" s="1"/>
  <c r="AH7" i="2"/>
  <c r="AM7" i="2" s="1"/>
  <c r="AN7" i="2"/>
  <c r="AH8" i="2"/>
  <c r="AN8" i="2" s="1"/>
  <c r="AH9" i="2"/>
  <c r="AN9" i="2" s="1"/>
  <c r="AH10" i="2"/>
  <c r="AN10" i="2" s="1"/>
  <c r="AH11" i="2"/>
  <c r="AN11" i="2" s="1"/>
  <c r="AH12" i="2"/>
  <c r="AM12" i="2" s="1"/>
  <c r="AN12" i="2"/>
  <c r="AH13" i="2"/>
  <c r="AM13" i="2" s="1"/>
  <c r="AH14" i="2"/>
  <c r="AN14" i="2" s="1"/>
  <c r="AH15" i="2"/>
  <c r="AN15" i="2" s="1"/>
  <c r="AH16" i="2"/>
  <c r="AM16" i="2" s="1"/>
  <c r="AH17" i="2"/>
  <c r="AN17" i="2" s="1"/>
  <c r="AH18" i="2"/>
  <c r="AM18" i="2" s="1"/>
  <c r="AN18" i="2"/>
  <c r="AH19" i="2"/>
  <c r="AM19" i="2" s="1"/>
  <c r="AH20" i="2"/>
  <c r="AN20" i="2" s="1"/>
  <c r="AH21" i="2"/>
  <c r="AN21" i="2" s="1"/>
  <c r="AH22" i="2"/>
  <c r="AN22" i="2" s="1"/>
  <c r="AH23" i="2"/>
  <c r="AM23" i="2" s="1"/>
  <c r="AH24" i="2"/>
  <c r="AM24" i="2" s="1"/>
  <c r="AH25" i="2"/>
  <c r="AM25" i="2" s="1"/>
  <c r="AH26" i="2"/>
  <c r="AN26" i="2" s="1"/>
  <c r="AH27" i="2"/>
  <c r="AN27" i="2" s="1"/>
  <c r="AH28" i="2"/>
  <c r="AM28" i="2" s="1"/>
  <c r="AH29" i="2"/>
  <c r="AN29" i="2" s="1"/>
  <c r="AH30" i="2"/>
  <c r="AM30" i="2" s="1"/>
  <c r="AH31" i="2"/>
  <c r="AM31" i="2" s="1"/>
  <c r="AH32" i="2"/>
  <c r="AN32" i="2" s="1"/>
  <c r="AH33" i="2"/>
  <c r="AN33" i="2" s="1"/>
  <c r="AH34" i="2"/>
  <c r="AM34" i="2" s="1"/>
  <c r="AH35" i="2"/>
  <c r="AM35" i="2" s="1"/>
  <c r="AN35" i="2"/>
  <c r="AH36" i="2"/>
  <c r="AM36" i="2" s="1"/>
  <c r="AH37" i="2"/>
  <c r="AM37" i="2" s="1"/>
  <c r="AH4" i="2"/>
  <c r="AN4" i="2"/>
  <c r="AM4" i="2"/>
  <c r="N4" i="2"/>
  <c r="Q4" i="2"/>
  <c r="T4" i="2"/>
  <c r="B18" i="8"/>
  <c r="B24" i="8"/>
  <c r="K12" i="8"/>
  <c r="L12" i="8"/>
  <c r="L11" i="8"/>
  <c r="K13" i="8"/>
  <c r="B11" i="8"/>
  <c r="J11" i="8"/>
  <c r="W87" i="1"/>
  <c r="W15" i="1"/>
  <c r="W3" i="1"/>
  <c r="W75" i="1"/>
  <c r="M12" i="8"/>
  <c r="H28" i="9"/>
  <c r="E28" i="9"/>
  <c r="B28" i="9"/>
  <c r="B26" i="9"/>
  <c r="H25" i="9"/>
  <c r="I21" i="9"/>
  <c r="H21" i="9"/>
  <c r="H27" i="9"/>
  <c r="G21" i="9"/>
  <c r="F21" i="9"/>
  <c r="E21" i="9"/>
  <c r="E27" i="9"/>
  <c r="D21" i="9"/>
  <c r="C21" i="9"/>
  <c r="B27" i="9"/>
  <c r="B21" i="9"/>
  <c r="I20" i="9"/>
  <c r="H20" i="9"/>
  <c r="H26" i="9"/>
  <c r="G20" i="9"/>
  <c r="F20" i="9"/>
  <c r="E20" i="9"/>
  <c r="E26" i="9"/>
  <c r="D20" i="9"/>
  <c r="C20" i="9"/>
  <c r="B20" i="9"/>
  <c r="I19" i="9"/>
  <c r="H19" i="9"/>
  <c r="G19" i="9"/>
  <c r="F19" i="9"/>
  <c r="E25" i="9"/>
  <c r="E19" i="9"/>
  <c r="D19" i="9"/>
  <c r="C19" i="9"/>
  <c r="B19" i="9"/>
  <c r="B25" i="9"/>
  <c r="I18" i="9"/>
  <c r="H18" i="9"/>
  <c r="H24" i="9"/>
  <c r="G18" i="9"/>
  <c r="F18" i="9"/>
  <c r="E24" i="9"/>
  <c r="E18" i="9"/>
  <c r="D18" i="9"/>
  <c r="C18" i="9"/>
  <c r="B18" i="9"/>
  <c r="B24" i="9"/>
  <c r="I15" i="9"/>
  <c r="H15" i="9"/>
  <c r="G15" i="9"/>
  <c r="F15" i="9"/>
  <c r="E15" i="9"/>
  <c r="D15" i="9"/>
  <c r="C15" i="9"/>
  <c r="B15" i="9"/>
  <c r="J15" i="9"/>
  <c r="I14" i="9"/>
  <c r="H14" i="9"/>
  <c r="G14" i="9"/>
  <c r="F14" i="9"/>
  <c r="E14" i="9"/>
  <c r="D14" i="9"/>
  <c r="C14" i="9"/>
  <c r="B14" i="9"/>
  <c r="J14" i="9"/>
  <c r="I13" i="9"/>
  <c r="H13" i="9"/>
  <c r="G13" i="9"/>
  <c r="F13" i="9"/>
  <c r="E13" i="9"/>
  <c r="D13" i="9"/>
  <c r="C13" i="9"/>
  <c r="B13" i="9"/>
  <c r="J13" i="9"/>
  <c r="I12" i="9"/>
  <c r="H12" i="9"/>
  <c r="G12" i="9"/>
  <c r="F12" i="9"/>
  <c r="E12" i="9"/>
  <c r="D12" i="9"/>
  <c r="C12" i="9"/>
  <c r="B12" i="9"/>
  <c r="J12" i="9"/>
  <c r="I11" i="9"/>
  <c r="H11" i="9"/>
  <c r="G11" i="9"/>
  <c r="F11" i="9"/>
  <c r="E11" i="9"/>
  <c r="D11" i="9"/>
  <c r="C11" i="9"/>
  <c r="B11" i="9"/>
  <c r="J11" i="9"/>
  <c r="J8" i="9"/>
  <c r="J7" i="9"/>
  <c r="J6" i="9"/>
  <c r="J5" i="9"/>
  <c r="J4" i="9"/>
  <c r="H28" i="8"/>
  <c r="E28" i="8"/>
  <c r="B28" i="8"/>
  <c r="H27" i="8"/>
  <c r="E27" i="8"/>
  <c r="H25" i="8"/>
  <c r="H24" i="8"/>
  <c r="I21" i="8"/>
  <c r="H21" i="8"/>
  <c r="G21" i="8"/>
  <c r="F21" i="8"/>
  <c r="E21" i="8"/>
  <c r="D21" i="8"/>
  <c r="C21" i="8"/>
  <c r="B27" i="8"/>
  <c r="B21" i="8"/>
  <c r="I20" i="8"/>
  <c r="H20" i="8"/>
  <c r="H26" i="8"/>
  <c r="G20" i="8"/>
  <c r="F20" i="8"/>
  <c r="E20" i="8"/>
  <c r="E26" i="8"/>
  <c r="D20" i="8"/>
  <c r="C20" i="8"/>
  <c r="B26" i="8"/>
  <c r="B20" i="8"/>
  <c r="I19" i="8"/>
  <c r="H19" i="8"/>
  <c r="G19" i="8"/>
  <c r="F19" i="8"/>
  <c r="E19" i="8"/>
  <c r="E25" i="8"/>
  <c r="D19" i="8"/>
  <c r="B25" i="8"/>
  <c r="C19" i="8"/>
  <c r="B19" i="8"/>
  <c r="I18" i="8"/>
  <c r="H18" i="8"/>
  <c r="G18" i="8"/>
  <c r="F18" i="8"/>
  <c r="E18" i="8"/>
  <c r="E24" i="8"/>
  <c r="D18" i="8"/>
  <c r="C18" i="8"/>
  <c r="I15" i="8"/>
  <c r="H15" i="8"/>
  <c r="G15" i="8"/>
  <c r="F15" i="8"/>
  <c r="E15" i="8"/>
  <c r="D15" i="8"/>
  <c r="C15" i="8"/>
  <c r="B15" i="8"/>
  <c r="J15" i="8"/>
  <c r="I14" i="8"/>
  <c r="H14" i="8"/>
  <c r="G14" i="8"/>
  <c r="F14" i="8"/>
  <c r="E14" i="8"/>
  <c r="D14" i="8"/>
  <c r="C14" i="8"/>
  <c r="B14" i="8"/>
  <c r="J14" i="8"/>
  <c r="I13" i="8"/>
  <c r="H13" i="8"/>
  <c r="G13" i="8"/>
  <c r="F13" i="8"/>
  <c r="E13" i="8"/>
  <c r="D13" i="8"/>
  <c r="C13" i="8"/>
  <c r="B13" i="8"/>
  <c r="J13" i="8"/>
  <c r="I12" i="8"/>
  <c r="H12" i="8"/>
  <c r="G12" i="8"/>
  <c r="F12" i="8"/>
  <c r="E12" i="8"/>
  <c r="D12" i="8"/>
  <c r="C12" i="8"/>
  <c r="B12" i="8"/>
  <c r="J12" i="8"/>
  <c r="I11" i="8"/>
  <c r="H11" i="8"/>
  <c r="G11" i="8"/>
  <c r="F11" i="8"/>
  <c r="E11" i="8"/>
  <c r="D11" i="8"/>
  <c r="C11" i="8"/>
  <c r="J8" i="8"/>
  <c r="J7" i="8"/>
  <c r="J6" i="8"/>
  <c r="J5" i="8"/>
  <c r="J4" i="8"/>
  <c r="M11" i="8"/>
  <c r="K14" i="9"/>
  <c r="K13" i="9"/>
  <c r="K12" i="9"/>
  <c r="K15" i="9"/>
  <c r="K14" i="8"/>
  <c r="K15" i="8"/>
  <c r="L13" i="8"/>
  <c r="M13" i="8"/>
  <c r="M14" i="8"/>
  <c r="L14" i="8"/>
  <c r="M15" i="8"/>
  <c r="L15" i="8"/>
  <c r="O3" i="1"/>
  <c r="P6" i="1" s="1"/>
  <c r="Q96" i="1"/>
  <c r="R96" i="1" s="1"/>
  <c r="Q93" i="1"/>
  <c r="R93" i="1" s="1"/>
  <c r="Q90" i="1"/>
  <c r="R90" i="1" s="1"/>
  <c r="Q87" i="1"/>
  <c r="R87" i="1"/>
  <c r="Q84" i="1"/>
  <c r="R84" i="1" s="1"/>
  <c r="Q81" i="1"/>
  <c r="R81" i="1" s="1"/>
  <c r="Q78" i="1"/>
  <c r="R78" i="1" s="1"/>
  <c r="Q75" i="1"/>
  <c r="R75" i="1" s="1"/>
  <c r="Q72" i="1"/>
  <c r="R72" i="1" s="1"/>
  <c r="Q69" i="1"/>
  <c r="R69" i="1" s="1"/>
  <c r="Q66" i="1"/>
  <c r="R66" i="1" s="1"/>
  <c r="Q63" i="1"/>
  <c r="R63" i="1" s="1"/>
  <c r="Q60" i="1"/>
  <c r="R60" i="1" s="1"/>
  <c r="Q57" i="1"/>
  <c r="R57" i="1"/>
  <c r="Q54" i="1"/>
  <c r="R54" i="1" s="1"/>
  <c r="Q51" i="1"/>
  <c r="R51" i="1" s="1"/>
  <c r="Q48" i="1"/>
  <c r="R48" i="1" s="1"/>
  <c r="Q45" i="1"/>
  <c r="R45" i="1" s="1"/>
  <c r="Q42" i="1"/>
  <c r="R42" i="1"/>
  <c r="Q39" i="1"/>
  <c r="R39" i="1" s="1"/>
  <c r="Q36" i="1"/>
  <c r="R36" i="1" s="1"/>
  <c r="Q33" i="1"/>
  <c r="R33" i="1"/>
  <c r="Q30" i="1"/>
  <c r="R30" i="1" s="1"/>
  <c r="Q27" i="1"/>
  <c r="R27" i="1" s="1"/>
  <c r="Q24" i="1"/>
  <c r="R24" i="1" s="1"/>
  <c r="Q21" i="1"/>
  <c r="R21" i="1" s="1"/>
  <c r="Q18" i="1"/>
  <c r="R18" i="1" s="1"/>
  <c r="Q15" i="1"/>
  <c r="R15" i="1"/>
  <c r="Q12" i="1"/>
  <c r="R12" i="1" s="1"/>
  <c r="Q9" i="1"/>
  <c r="R9" i="1" s="1"/>
  <c r="Q6" i="1"/>
  <c r="R6" i="1"/>
  <c r="Q3" i="1"/>
  <c r="R3" i="1" s="1"/>
  <c r="Q9" i="2"/>
  <c r="Q10" i="2"/>
  <c r="T37"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Q5" i="2"/>
  <c r="Q6" i="2"/>
  <c r="Q7" i="2"/>
  <c r="Q8" i="2"/>
  <c r="Q11" i="2"/>
  <c r="Q12" i="2"/>
  <c r="Q13" i="2"/>
  <c r="Q14" i="2"/>
  <c r="Q15" i="2"/>
  <c r="Q16" i="2"/>
  <c r="Q17" i="2"/>
  <c r="Q18" i="2"/>
  <c r="Q19" i="2"/>
  <c r="Q20" i="2"/>
  <c r="Q21" i="2"/>
  <c r="Q22" i="2"/>
  <c r="Q23" i="2"/>
  <c r="Q24" i="2"/>
  <c r="Q25" i="2"/>
  <c r="Q26" i="2"/>
  <c r="Q27" i="2"/>
  <c r="Q28" i="2"/>
  <c r="Q29" i="2"/>
  <c r="Q30" i="2"/>
  <c r="Q31" i="2"/>
  <c r="Q32" i="2"/>
  <c r="Q33" i="2"/>
  <c r="Q34" i="2"/>
  <c r="Q35" i="2"/>
  <c r="Q36" i="2"/>
  <c r="Q37" i="2"/>
  <c r="N5" i="2"/>
  <c r="N6" i="2"/>
  <c r="N7" i="2"/>
  <c r="N8" i="2"/>
  <c r="N9" i="2"/>
  <c r="N10" i="2"/>
  <c r="N12" i="2"/>
  <c r="N14" i="2"/>
  <c r="N15" i="2"/>
  <c r="N16" i="2"/>
  <c r="N17" i="2"/>
  <c r="N18" i="2"/>
  <c r="N19" i="2"/>
  <c r="N21" i="2"/>
  <c r="N23" i="2"/>
  <c r="N24" i="2"/>
  <c r="N25" i="2"/>
  <c r="N26" i="2"/>
  <c r="N27" i="2"/>
  <c r="N30" i="2"/>
  <c r="N31" i="2"/>
  <c r="N32" i="2"/>
  <c r="N33" i="2"/>
  <c r="N34" i="2"/>
  <c r="N35" i="2"/>
  <c r="N36" i="2"/>
  <c r="N37" i="2"/>
  <c r="AN28" i="2" l="1"/>
  <c r="AN36" i="2"/>
  <c r="AN16" i="2"/>
  <c r="AM11" i="2"/>
  <c r="AN19" i="2"/>
  <c r="AN34" i="2"/>
  <c r="AN23" i="2"/>
  <c r="AM27" i="2"/>
  <c r="AN25" i="2"/>
  <c r="AM22" i="2"/>
  <c r="AM21" i="2"/>
  <c r="AM29" i="2"/>
  <c r="AN30" i="2"/>
  <c r="AN37" i="2"/>
  <c r="AN6" i="2"/>
  <c r="AN13" i="2"/>
  <c r="AR13" i="2"/>
  <c r="AM17" i="2"/>
  <c r="AM15" i="2"/>
  <c r="AR12" i="2"/>
  <c r="AR24" i="2"/>
  <c r="AM10" i="2"/>
  <c r="AR23" i="2"/>
  <c r="AM33" i="2"/>
  <c r="AM9" i="2"/>
  <c r="AN31" i="2"/>
  <c r="AN24" i="2"/>
  <c r="AR22" i="2"/>
  <c r="AM14" i="2"/>
  <c r="AR6" i="2"/>
  <c r="AR21" i="2"/>
  <c r="AR7" i="2"/>
  <c r="AR37" i="2"/>
  <c r="AR35" i="2"/>
  <c r="AR36" i="2"/>
  <c r="AR11" i="2"/>
  <c r="AM32" i="2"/>
  <c r="AM20" i="2"/>
  <c r="AM8" i="2"/>
  <c r="AR16" i="2"/>
  <c r="AR34" i="2"/>
  <c r="AM26" i="2"/>
  <c r="AR15" i="2"/>
  <c r="AR33" i="2"/>
  <c r="AR10" i="2"/>
  <c r="AR14" i="2"/>
  <c r="S30" i="13"/>
  <c r="P23" i="13"/>
  <c r="J46" i="13"/>
  <c r="K47" i="13"/>
  <c r="R27" i="13"/>
  <c r="R24" i="13"/>
  <c r="S27" i="13"/>
  <c r="N29" i="13"/>
  <c r="I45" i="13"/>
  <c r="Q30" i="13"/>
  <c r="I46" i="13"/>
  <c r="Q24" i="13"/>
  <c r="S20" i="13"/>
  <c r="S26" i="13"/>
  <c r="P29" i="13"/>
  <c r="P21" i="13"/>
  <c r="Q29" i="13"/>
  <c r="R21" i="13"/>
  <c r="R29" i="13"/>
  <c r="N20" i="13"/>
  <c r="S28" i="13"/>
  <c r="S24" i="13"/>
  <c r="R30" i="13"/>
  <c r="S23" i="13"/>
  <c r="S22" i="13"/>
  <c r="Q26" i="13"/>
  <c r="P20" i="13"/>
  <c r="N26" i="13"/>
  <c r="Q20" i="13"/>
  <c r="Q23" i="13"/>
  <c r="P26" i="13"/>
  <c r="N23" i="13"/>
  <c r="R20" i="13"/>
  <c r="N22" i="13"/>
  <c r="R23" i="13"/>
  <c r="P22" i="13"/>
  <c r="R26" i="13"/>
  <c r="N28" i="13"/>
  <c r="N21" i="13"/>
  <c r="Q22" i="13"/>
  <c r="N27" i="13"/>
  <c r="P28" i="13"/>
  <c r="N30" i="13"/>
  <c r="P30" i="13"/>
  <c r="R22" i="13"/>
  <c r="N24" i="13"/>
  <c r="P27" i="13"/>
  <c r="Q28" i="13"/>
  <c r="Q21" i="13"/>
  <c r="P24" i="13"/>
  <c r="Q27" i="13"/>
  <c r="R28" i="13"/>
  <c r="P63" i="1"/>
  <c r="P27" i="1"/>
  <c r="P60" i="1"/>
  <c r="P18" i="1"/>
  <c r="P66" i="1"/>
  <c r="P15" i="1"/>
  <c r="P39" i="1"/>
  <c r="P93" i="1"/>
  <c r="P90" i="1"/>
  <c r="P36" i="1"/>
  <c r="P78" i="1"/>
  <c r="P54" i="1"/>
  <c r="P75" i="1"/>
  <c r="P12" i="1"/>
  <c r="P96" i="1"/>
  <c r="P69" i="1"/>
</calcChain>
</file>

<file path=xl/sharedStrings.xml><?xml version="1.0" encoding="utf-8"?>
<sst xmlns="http://schemas.openxmlformats.org/spreadsheetml/2006/main" count="1794" uniqueCount="642">
  <si>
    <t xml:space="preserve">ID </t>
  </si>
  <si>
    <t>Choline</t>
  </si>
  <si>
    <t>HBB Genotype</t>
  </si>
  <si>
    <t>Mean SCR</t>
  </si>
  <si>
    <t>Age</t>
  </si>
  <si>
    <t>Gender</t>
  </si>
  <si>
    <t>Village</t>
  </si>
  <si>
    <t>Ethnicity</t>
  </si>
  <si>
    <t>Symptomatic</t>
  </si>
  <si>
    <t>LM par/µL</t>
  </si>
  <si>
    <t>LM par%</t>
  </si>
  <si>
    <t>LM Gam/µL</t>
  </si>
  <si>
    <t>varATS par/µL</t>
  </si>
  <si>
    <t>MixInf</t>
  </si>
  <si>
    <t>ITEM_NAME</t>
  </si>
  <si>
    <t>DESCRIPTION_LABEL</t>
  </si>
  <si>
    <t>RESPONSE_LABEL</t>
  </si>
  <si>
    <t>RESPONSE_OPTIONS_TEXT</t>
  </si>
  <si>
    <t>DATA_TYPE</t>
  </si>
  <si>
    <t>ID</t>
  </si>
  <si>
    <t>Character String (ST)</t>
  </si>
  <si>
    <t>Choline+ or Choline-  culture medium used?</t>
  </si>
  <si>
    <t>Choline + or Choline-</t>
  </si>
  <si>
    <t>(+) = 1; (-) = 0</t>
  </si>
  <si>
    <t>Categorical (CAT)</t>
  </si>
  <si>
    <t>Hemoglobin beta (HBB) genotype</t>
  </si>
  <si>
    <t>HbAA = 0; HbAC = 1; HbAS = 2</t>
  </si>
  <si>
    <t>Continuous (CONT)</t>
  </si>
  <si>
    <t>Ethnicity </t>
  </si>
  <si>
    <t>Did the participant have symptoms at the time of sample collection?</t>
  </si>
  <si>
    <r>
      <rPr>
        <sz val="7"/>
        <color theme="1"/>
        <rFont val="Times New Roman"/>
        <family val="1"/>
      </rPr>
      <t xml:space="preserve"> </t>
    </r>
    <r>
      <rPr>
        <sz val="11"/>
        <color theme="1"/>
        <rFont val="Calibri"/>
        <family val="2"/>
      </rPr>
      <t xml:space="preserve">No = 0, Yes = 1 </t>
    </r>
  </si>
  <si>
    <t>What is the result of the RDT at the time of saple collection?</t>
  </si>
  <si>
    <t>RDT result</t>
  </si>
  <si>
    <t xml:space="preserve">Positive = 1, Negative = 0 </t>
  </si>
  <si>
    <t>LM result</t>
  </si>
  <si>
    <t xml:space="preserve">varATS par% </t>
  </si>
  <si>
    <r>
      <t xml:space="preserve">Where there mixed </t>
    </r>
    <r>
      <rPr>
        <i/>
        <sz val="11"/>
        <color theme="1"/>
        <rFont val="Calibri"/>
        <family val="2"/>
      </rPr>
      <t>Plasmodium</t>
    </r>
    <r>
      <rPr>
        <sz val="11"/>
        <color theme="1"/>
        <rFont val="Calibri"/>
        <family val="2"/>
      </rPr>
      <t xml:space="preserve"> species where seen during light licroscopy evaluation?</t>
    </r>
  </si>
  <si>
    <t xml:space="preserve">No = 0, Yes =1 </t>
  </si>
  <si>
    <t>Bloodgroup</t>
  </si>
  <si>
    <t>Reticulocytes</t>
  </si>
  <si>
    <t>PMR_Gen0_1</t>
  </si>
  <si>
    <t>CollectionSite</t>
  </si>
  <si>
    <t>Pf_infection</t>
  </si>
  <si>
    <t>Rstudio</t>
  </si>
  <si>
    <t>FACTOR</t>
  </si>
  <si>
    <t>Bloodgroup ABO</t>
  </si>
  <si>
    <t>Reticulocytes % at day 3 after thawing blood from cryo.</t>
  </si>
  <si>
    <t>NUMERICAL</t>
  </si>
  <si>
    <t>What is the collection site of the plasma samples?</t>
  </si>
  <si>
    <t>Site of sample collection</t>
  </si>
  <si>
    <t>CRUN = 0; UZA = 1; ITM = 2</t>
  </si>
  <si>
    <r>
      <t xml:space="preserve">Was the participant infected with </t>
    </r>
    <r>
      <rPr>
        <i/>
        <sz val="11"/>
        <color theme="1"/>
        <rFont val="Aptos Narrow"/>
        <family val="2"/>
        <scheme val="minor"/>
      </rPr>
      <t>Plasmodium falciparum</t>
    </r>
    <r>
      <rPr>
        <sz val="11"/>
        <color theme="1"/>
        <rFont val="Aptos Narrow"/>
        <family val="2"/>
        <scheme val="minor"/>
      </rPr>
      <t xml:space="preserve"> at the time of sample collection?</t>
    </r>
  </si>
  <si>
    <t>Sample_type</t>
  </si>
  <si>
    <t>Gametocytes_µL</t>
  </si>
  <si>
    <t>Gametocytes_µL_group</t>
  </si>
  <si>
    <t>Parasites_µL</t>
  </si>
  <si>
    <t>Parasites_µl_group</t>
  </si>
  <si>
    <t>ParasiteDensity_%</t>
  </si>
  <si>
    <t>Positive control</t>
  </si>
  <si>
    <t>Negative control</t>
  </si>
  <si>
    <t>HbAA</t>
  </si>
  <si>
    <t>HbAC</t>
  </si>
  <si>
    <t>HbAS</t>
  </si>
  <si>
    <t>HbSC</t>
  </si>
  <si>
    <t>HbCC</t>
  </si>
  <si>
    <t>HbAA = 0; HbAC = 1; HbAS = 2; HbCC = 3; HbSC = 4</t>
  </si>
  <si>
    <t>Sample type  and HBB genotype groups</t>
  </si>
  <si>
    <t>All HBB genotype groups AND  ITM Traveller samples = Positive control AND Naïve plasma +No Ab plus Plasma = Negative control</t>
  </si>
  <si>
    <r>
      <rPr>
        <sz val="7"/>
        <color theme="1"/>
        <rFont val="Times New Roman"/>
        <family val="1"/>
      </rPr>
      <t xml:space="preserve"> </t>
    </r>
    <r>
      <rPr>
        <sz val="11"/>
        <color theme="1"/>
        <rFont val="Calibri"/>
        <family val="2"/>
      </rPr>
      <t>1 to 4 years = 1; 5 to 19 years = 2</t>
    </r>
  </si>
  <si>
    <t xml:space="preserve">CRUN = 0; ITM = 1; </t>
  </si>
  <si>
    <t>Yes, no</t>
  </si>
  <si>
    <t>Number of gametocytes per µL at sample collection time</t>
  </si>
  <si>
    <t>Gametocytes/µL</t>
  </si>
  <si>
    <t xml:space="preserve">Gametocytes in blood at sample collection time? </t>
  </si>
  <si>
    <t>Number of parasites per µL at sample collection time</t>
  </si>
  <si>
    <t>Parasites/µL</t>
  </si>
  <si>
    <t xml:space="preserve">Parasites in blood at sample collection time? </t>
  </si>
  <si>
    <t>ParasiteDensity</t>
  </si>
  <si>
    <t>Number of parasites on the total white blood cells counted at sample collection time</t>
  </si>
  <si>
    <t>% parasites</t>
  </si>
  <si>
    <t>Number DAPI+ parasites</t>
  </si>
  <si>
    <t>Number of Pfs16+ sexual stages</t>
  </si>
  <si>
    <t>Number fields counted</t>
  </si>
  <si>
    <t>Cultures</t>
  </si>
  <si>
    <t xml:space="preserve">Patient data </t>
  </si>
  <si>
    <t>Parasite diagnosis and parasitemia</t>
  </si>
  <si>
    <t>Sample type</t>
  </si>
  <si>
    <t>CTRL CRYO</t>
  </si>
  <si>
    <t>CTRL FRESH</t>
  </si>
  <si>
    <t>Blood sample type</t>
  </si>
  <si>
    <t>Blood sample used as a control (in fresh or cryo) or as a test sample</t>
  </si>
  <si>
    <t>CONTROL FRESH; CONTROL CRYO OR TEST</t>
  </si>
  <si>
    <t>TEST</t>
  </si>
  <si>
    <t>HbAA = 0; HbAC = 1; HbAS = 2; HbSS = 3; HbSC = 4</t>
  </si>
  <si>
    <t>Experiment</t>
  </si>
  <si>
    <t>Exp3_Repeat,Exp4, Exp5, Exp6</t>
  </si>
  <si>
    <t>Experiment in which samples are included, this is done by sample collection</t>
  </si>
  <si>
    <t>1 to 16</t>
  </si>
  <si>
    <t>IFA smear incl. CTRL</t>
  </si>
  <si>
    <t>YES</t>
  </si>
  <si>
    <t>SCR</t>
  </si>
  <si>
    <t>NO</t>
  </si>
  <si>
    <t>Gametocyte stage V seen &amp; not counted</t>
  </si>
  <si>
    <t>IFA Replicate nr.</t>
  </si>
  <si>
    <t>Did the IFA smear include a negative control without primary antibody anti-Pfs16?</t>
  </si>
  <si>
    <t>Number of IFA smear replicates from one same blood sample and parasite culture</t>
  </si>
  <si>
    <t>YES, NO</t>
  </si>
  <si>
    <t>Number of parasites coloured with DAPI DNA stain</t>
  </si>
  <si>
    <t>Number of fields needed to be counted to reach at least 1000 DAPI+ parasites</t>
  </si>
  <si>
    <t>Per IFA replicate: Proportion of sexual parasites on the total parasitemia i.e. ("Number of Pfs16+ sexual stages")/("Number of DAPI/ parasites")*100</t>
  </si>
  <si>
    <t>Mean of the SCR of the three IFA replicates per sample</t>
  </si>
  <si>
    <t>COMMENTS</t>
  </si>
  <si>
    <t>iRBCs_Gen0_0to5hpi</t>
  </si>
  <si>
    <t>DNAcontent_Gen0_35to40hpi</t>
  </si>
  <si>
    <t>iRBCs_Gen0_35to40hpi</t>
  </si>
  <si>
    <t>LateStages_Gen0_35to40hpi</t>
  </si>
  <si>
    <t>LateStages_Proportion_Gen0_35to40hpi</t>
  </si>
  <si>
    <t>DNAcontent_Gen1_35to40hpi</t>
  </si>
  <si>
    <t>iRBCs_Gen1_35to40hpi</t>
  </si>
  <si>
    <t>LateStages_Gen1_35to40hpi</t>
  </si>
  <si>
    <t>LateStages_Proportion_Gen1_35to40hpi</t>
  </si>
  <si>
    <t>SCR_CHOLINE_Gen1_35to40hpi</t>
  </si>
  <si>
    <t>SCR_NO_CHOLINE_Gen1_35to40hpi</t>
  </si>
  <si>
    <t>iRBCs_Gen1_25to30hpi</t>
  </si>
  <si>
    <t>LateStages_Gen1_25to30hpi</t>
  </si>
  <si>
    <t>LateStages_Proportion_Gen1_25to30hpi</t>
  </si>
  <si>
    <t>SCR_CHOLINE_Gen1_25to30hpi</t>
  </si>
  <si>
    <t>SCR_NO_CHOLINE_Gen1_25to30hpi</t>
  </si>
  <si>
    <t xml:space="preserve">% parasitemia at Generation 0, 0-5 hpi; by Flow Cytometry </t>
  </si>
  <si>
    <t xml:space="preserve">DNA content in MFI (Mean Fluorescence Intensity) at day 5, 35-40hpi; by Flow Cytometry </t>
  </si>
  <si>
    <t xml:space="preserve">DNA content in MFI (Mean Fluorescence Intensity) at day 7, 35-40hpi; by Flow Cytometry </t>
  </si>
  <si>
    <t xml:space="preserve">Parasite multiplication rates from generation 0 (day 5) at 34-40hpi to generation 1 (day 7) at 35-401hpi; by Flow Cytometry </t>
  </si>
  <si>
    <t xml:space="preserve">% late stages parasitemia at Generation 0, 35-40hpi; by Flow Cytometry </t>
  </si>
  <si>
    <t xml:space="preserve">% late stages parasitemia at Generation 1, 25-30hpi; by Flow Cytometry </t>
  </si>
  <si>
    <r>
      <rPr>
        <sz val="7"/>
        <color theme="1"/>
        <rFont val="Times New Roman"/>
        <family val="1"/>
      </rPr>
      <t> </t>
    </r>
    <r>
      <rPr>
        <sz val="11"/>
        <color theme="1"/>
        <rFont val="Calibri"/>
        <family val="2"/>
      </rPr>
      <t xml:space="preserve">% late stages parasitemia at Generation 1, 35-40hpi; by Flow Cytometry </t>
    </r>
  </si>
  <si>
    <r>
      <t xml:space="preserve">sexual conversion rates (proportion of sexual parasites on the total infected red blood cells) from </t>
    </r>
    <r>
      <rPr>
        <sz val="11"/>
        <color rgb="FF0070C0"/>
        <rFont val="Calibri"/>
        <family val="2"/>
      </rPr>
      <t xml:space="preserve">-Choline cultures </t>
    </r>
    <r>
      <rPr>
        <sz val="11"/>
        <color theme="1"/>
        <rFont val="Calibri"/>
        <family val="2"/>
      </rPr>
      <t xml:space="preserve">at Generation 1, 25-30hpi; by Flow Cytometry </t>
    </r>
  </si>
  <si>
    <r>
      <t xml:space="preserve">sexual conversion rates (proportion of sexual parasites on the total infected red blood cells) from </t>
    </r>
    <r>
      <rPr>
        <sz val="11"/>
        <color rgb="FF0070C0"/>
        <rFont val="Calibri"/>
        <family val="2"/>
      </rPr>
      <t xml:space="preserve">-Choline cultures </t>
    </r>
    <r>
      <rPr>
        <sz val="11"/>
        <color theme="1"/>
        <rFont val="Calibri"/>
        <family val="2"/>
      </rPr>
      <t xml:space="preserve">at Generation 1, 35-40hpi; by Flow Cytometry </t>
    </r>
  </si>
  <si>
    <t xml:space="preserve">35-40 hpi (Generation 0) </t>
  </si>
  <si>
    <t>Total stages%</t>
  </si>
  <si>
    <t>%Tiny Rings (~0-5h)</t>
  </si>
  <si>
    <t>%Small Rings (~5-18h)</t>
  </si>
  <si>
    <t>%Large Rings (~18-22h)</t>
  </si>
  <si>
    <t>%Early Trophs (~22-26h)</t>
  </si>
  <si>
    <t>%Mid Trophs (~26-30h)</t>
  </si>
  <si>
    <t>%Late Trophs (~30-34h)</t>
  </si>
  <si>
    <t>%Early Schizonts (~34-40h)</t>
  </si>
  <si>
    <t>%Late schizonts (~40-44h)</t>
  </si>
  <si>
    <t>AA</t>
  </si>
  <si>
    <t>AS</t>
  </si>
  <si>
    <t>AC</t>
  </si>
  <si>
    <t>SS</t>
  </si>
  <si>
    <t>SC</t>
  </si>
  <si>
    <t xml:space="preserve">25-30 hpi (Generation 1) </t>
  </si>
  <si>
    <t xml:space="preserve">35-40 hpi (Generation 1) </t>
  </si>
  <si>
    <t>Sample sizes (n)</t>
  </si>
  <si>
    <t xml:space="preserve">  </t>
  </si>
  <si>
    <t>Parasite cultures - Flow Cytometry Data --&gt;</t>
  </si>
  <si>
    <t>Patient data --&gt;</t>
  </si>
  <si>
    <t>LM_total_iRBCs_counts_Gen0_35to40hpi</t>
  </si>
  <si>
    <t>LM_total_iRBCs_counts_Gen1_25to30hpi</t>
  </si>
  <si>
    <t>LM_total_iRBCs_counts_Gen1_35to40hpi</t>
  </si>
  <si>
    <t>Parasite development by Light Microscopy (staging) - from sheet 'ivSCAs - Parasite cultures - LM data'</t>
  </si>
  <si>
    <t>IFA smears --&gt;</t>
  </si>
  <si>
    <t>IFA smear counts (reader 1)--&gt;</t>
  </si>
  <si>
    <r>
      <t xml:space="preserve">IFA smear counts (reader 2; </t>
    </r>
    <r>
      <rPr>
        <b/>
        <i/>
        <sz val="11"/>
        <color rgb="FFC00000"/>
        <rFont val="Aptos Narrow"/>
        <family val="2"/>
        <scheme val="minor"/>
      </rPr>
      <t>QC 12,5%</t>
    </r>
    <r>
      <rPr>
        <b/>
        <i/>
        <sz val="11"/>
        <color rgb="FF00B050"/>
        <rFont val="Aptos Narrow"/>
        <family val="2"/>
        <scheme val="minor"/>
      </rPr>
      <t>) --&gt;</t>
    </r>
  </si>
  <si>
    <t>Date of IFA staining</t>
  </si>
  <si>
    <t>Sample collection date</t>
  </si>
  <si>
    <t xml:space="preserve">Date of IFA counting </t>
  </si>
  <si>
    <t>IFA Replicate Number</t>
  </si>
  <si>
    <t>Experiment (= Sample collection Number)</t>
  </si>
  <si>
    <t>Experiment Number</t>
  </si>
  <si>
    <t>Experiment number</t>
  </si>
  <si>
    <t>Number of succesful experiments in which sample ID was included</t>
  </si>
  <si>
    <t>Parasite cultures - Light Microscopy (LM) Data --&gt;</t>
  </si>
  <si>
    <t>iRBCs% post-sorbitol before SC, Must be &lt;=2,0%</t>
  </si>
  <si>
    <t>iRBCs_CHOLINE_Gen0_35to40hpi</t>
  </si>
  <si>
    <t>iRBCs_CHOLINE_Gen1_25to30hpi</t>
  </si>
  <si>
    <t>iRBCs_CHOLINE_Gen1_35to40hpi</t>
  </si>
  <si>
    <t>iRBCs_NO_CHOLINE_Gen0_35to40hpi</t>
  </si>
  <si>
    <t>iRBCs_NO_CHOLINE_Gen1_25to30hpi</t>
  </si>
  <si>
    <t>iRBCs_NO_CHOLINE_Gen1_35to40hpi</t>
  </si>
  <si>
    <r>
      <t xml:space="preserve">Sxual conversion rates (proportion of sexual parasites on the total infected red blood cells) from </t>
    </r>
    <r>
      <rPr>
        <sz val="11"/>
        <color rgb="FF0070C0"/>
        <rFont val="Calibri"/>
        <family val="2"/>
      </rPr>
      <t xml:space="preserve">+Choline cultures </t>
    </r>
    <r>
      <rPr>
        <sz val="11"/>
        <color theme="1"/>
        <rFont val="Calibri"/>
        <family val="2"/>
      </rPr>
      <t xml:space="preserve">at Generation 1, 25-30hpi; by Flow Cytometry </t>
    </r>
  </si>
  <si>
    <r>
      <t xml:space="preserve">Sexual conversion rates (proportion of sexual parasites on the total infected red blood cells) from </t>
    </r>
    <r>
      <rPr>
        <sz val="11"/>
        <color rgb="FF0070C0"/>
        <rFont val="Calibri"/>
        <family val="2"/>
      </rPr>
      <t xml:space="preserve">+Choline cultures </t>
    </r>
    <r>
      <rPr>
        <sz val="11"/>
        <color theme="1"/>
        <rFont val="Calibri"/>
        <family val="2"/>
      </rPr>
      <t xml:space="preserve">at Generation 1, 35-40hpi; by Flow Cytometry </t>
    </r>
  </si>
  <si>
    <t>Number of RBC events / Sample Volume</t>
  </si>
  <si>
    <t>Number RBC events_CHOLINE_Gen0_35to40hpi</t>
  </si>
  <si>
    <t xml:space="preserve">Sample volume_CHOLINE_Gen0_35to40hpi </t>
  </si>
  <si>
    <t>RBCs_per_µL _CHOLINE_Gen0_35to40hpi</t>
  </si>
  <si>
    <t>Number RBC events_CHOLINE_Gen1_25to30hpi</t>
  </si>
  <si>
    <t>Sample volume_CHOLINE_Gen1_25to30hpi</t>
  </si>
  <si>
    <t>RBCs_per_µl_CHOLINE_Gen1_25to30hpi</t>
  </si>
  <si>
    <t>Number RBC events_CHOLINE_Gen1_35to40hpi</t>
  </si>
  <si>
    <t xml:space="preserve">Sample volume_CHOLINE_Gen1_35to40hpi </t>
  </si>
  <si>
    <t>RBCs_per_µL _CHOLINE_Gen1_35to40hpi</t>
  </si>
  <si>
    <t>RBCs_per_µL_CHOLINE _Gen0_35to40hpi</t>
  </si>
  <si>
    <t>RBCs_per_µL_CHOLINE _Gen1_35to40hpi</t>
  </si>
  <si>
    <t>PMR_CHOLINE_Gen0_1</t>
  </si>
  <si>
    <t>DNAcontent_CHOLINE_Gen0_35to40hpi</t>
  </si>
  <si>
    <t>DNAcontent_CHOLINE_Gen1_35to40hpi</t>
  </si>
  <si>
    <t>LateStages_CHOLINE_Gen0_35to40hpi</t>
  </si>
  <si>
    <t>LateStages_CHOLINE_Gen1_25to30hpi</t>
  </si>
  <si>
    <t>LateStages_CHOLINE_Gen1_35to40hpi</t>
  </si>
  <si>
    <t>LateStages_Proportion_CHOLINE_Gen0_35to40hpi</t>
  </si>
  <si>
    <t>LateStagesProportion_CHOLINE_Gen1_35to40hpi</t>
  </si>
  <si>
    <t>LateStages_Proportion_CHOLINE_Gen1_25to30hpi</t>
  </si>
  <si>
    <t>LateStages_Proportion_CHOLINE_Gen1_35to40hpi</t>
  </si>
  <si>
    <t>LM_total_iRBCs_counts_CHOLINE_Gen0_35to40hpi</t>
  </si>
  <si>
    <t>LM_total_iRBCs_counts_CHOLINE_Gen1_25to30hpi</t>
  </si>
  <si>
    <t>LM_total_iRBCs_counts_CHOLINE_Gen1_35to40hpi</t>
  </si>
  <si>
    <t>TinyRings_Proportion_CHOLINE_Gen0_35to40hpi</t>
  </si>
  <si>
    <t>TinyRings_Proportion_CHOLINE_Gen1_25to30hpi</t>
  </si>
  <si>
    <t>TinyRings_Proportion_CHOLINE_Gen1_35to40hpi</t>
  </si>
  <si>
    <t>SmallRings_Proportion_CHOLINE_Gen0_35to40hpi</t>
  </si>
  <si>
    <t>SmallRings_Proportion_CHOLINE_Gen1_25to30hpi</t>
  </si>
  <si>
    <t>SmallRings_Proportion_CHOLINE_Gen1_35to40hpi</t>
  </si>
  <si>
    <t>LargeRings_Proportion_CHOLINE_Gen0_35to40hpi</t>
  </si>
  <si>
    <t>LargeRings_Proportion_CHOLINE_Gen1_25to30hpi</t>
  </si>
  <si>
    <t>LargeRings_Proportion_CHOLINE_Gen1_35to40hpi</t>
  </si>
  <si>
    <t>EarlyTrophs_Proportion_CHOLINE_Gen0_35to40hpi</t>
  </si>
  <si>
    <t>EarlyTrophs_Proportion_CHOLINE_Gen1_25to30hpi</t>
  </si>
  <si>
    <t>EarlyTrophs_Proportion_CHOLINE_Gen1_35to40hpi</t>
  </si>
  <si>
    <t>MidTrophs_Proportion_CHOLINE_Gen0_35to40hpi</t>
  </si>
  <si>
    <t>MidTrophs_Proportion_CHOLINE_Gen1_25to30hpi</t>
  </si>
  <si>
    <t>MidTrophs_Proportion_CHOLINE_Gen1_35to40hpi</t>
  </si>
  <si>
    <t>LateTrophs_Proportion_CHOLINE_Gen0_35to40hpi</t>
  </si>
  <si>
    <t>LateTrophs_Proportion_CHOLINE_Gen1_25to30hpi</t>
  </si>
  <si>
    <t>LateTrophs_Proportion_CHOLINE_Gen1_35to40hpi</t>
  </si>
  <si>
    <t>EarlySchizonts_Proportion_CHOLINE_Gen0_35to40hpi</t>
  </si>
  <si>
    <t>EarlySchizonts_Proportion_CHOLINE_Gen1_35to40hpi</t>
  </si>
  <si>
    <t>LateSchizonts_Proportion_CHOLINE_Gen0_35to40hpi</t>
  </si>
  <si>
    <t>LateSchizonts_Proportion_CHOLINE_Gen1_25to30hpi</t>
  </si>
  <si>
    <t>LateSchizonts_Proportion_CHOLINE_Gen1_35to40hpi</t>
  </si>
  <si>
    <t>EarlySchizonts_Proportion_CHOLINE_Gen1_25to30hpi</t>
  </si>
  <si>
    <t>Number of red blood cell (RBC) events counted by Flow Cytometry in non-inducing conditions (+choline), at Generation 0, 35-40hpi</t>
  </si>
  <si>
    <t>Number of red blood cell (RBC) events counted by Flow Cytometry in non-inducing conditions (+choline), at Generation 1, 25-30hpi</t>
  </si>
  <si>
    <t>Number of red blood cell (RBC) events counted by Flow Cytometry in non-inducing conditions (+choline), at Generation 1, 35-40hpi</t>
  </si>
  <si>
    <t>Sample volume in µL measured by Flow Cytometry in non-inducing conditions (+choline), at Generation 0, 35-40hpi</t>
  </si>
  <si>
    <t>Sample volume in µL measured by Flow Cytometry in non-inducing conditions (+choline), at Generation 1, 25-30hpi</t>
  </si>
  <si>
    <t>Sample volume in µL measured by Flow Cytometry in non-inducing conditions (+choline), at Generation 1, 35-40hpi</t>
  </si>
  <si>
    <t>Number of red blood cells per µL of sample counted by Flow Cytometry in non-inducing conditions (+choline), at Generation 0, 35-40hpi</t>
  </si>
  <si>
    <t>Number of red blood cells per µL of sample counted by Flow Cytometry in non-inducing conditions (+choline), at Generation 1, 25-30hpi</t>
  </si>
  <si>
    <t>Number of red blood cells per µL of sample counted by Flow Cytometry in non-inducing conditions (+choline), at Generation 1, 35-40hpi</t>
  </si>
  <si>
    <t>Sexual_iRBCs_CHOLINE_Gen1_25to30hpi</t>
  </si>
  <si>
    <t>Asexual_iRBCs_CHOLINE_Gen1_25to30hpi</t>
  </si>
  <si>
    <t>Sexual_iRBCs_CHOLINE_Gen1_35to40hpi</t>
  </si>
  <si>
    <t>Asexual_iRBCs_CHOLINE_Gen1_35to40hpi</t>
  </si>
  <si>
    <t>Asexual and sexual iRBCs% at Generation 1, 35-40 hpi (+CHOLINE cultures)</t>
  </si>
  <si>
    <t>Asexual and sexual iRBCs% at Generation 1, 25-30 hpi (+CHOLINE cultures)</t>
  </si>
  <si>
    <t>Asexual and sexual iRBCs% at Generation1, 25-30 hpi (-CHOLINE cultures)</t>
  </si>
  <si>
    <t>Sexual_iRBCs_NoCHOLINE_Gen1_25to30hpi</t>
  </si>
  <si>
    <t>Asexual_iRBCs_NO_CHOLINE_Gen1_25to30hpi</t>
  </si>
  <si>
    <t>Asexual and sexual iRBCs% at Generation 1, 35-40 hpi (-CHOLINE cultures)</t>
  </si>
  <si>
    <t>Sexual_iRBCs_NO_CHOLINE_Gen1_35to40hpi</t>
  </si>
  <si>
    <t>Asexual_iRBCs_NO_CHOLINE_Gen1_35to40hpi</t>
  </si>
  <si>
    <t xml:space="preserve">Proportion of late stages on the total infected RBCs at Generation 0, 35-40hpi; by Flow Cytometry </t>
  </si>
  <si>
    <t xml:space="preserve">Proportion of late stages on the total infected RBCs at Generation 1, 25-30hpi; by Flow Cytometry </t>
  </si>
  <si>
    <t xml:space="preserve">Proportion of late stages on the total infected RBCs at Generation 1, 35-40hpi; by Flow Cytometry </t>
  </si>
  <si>
    <t xml:space="preserve">% parasitemia at Generation 0, 35-40hpi in inducing conditions (-Choline); by Flow Cytometry </t>
  </si>
  <si>
    <t xml:space="preserve">% parasitemia at Generation 1, 25-30hpi in inducing conditions (-Choline); by Flow Cytometry </t>
  </si>
  <si>
    <t xml:space="preserve">% parasitemia at Generation 1, 35-40hpi in inducing conditions (-Choline); by Flow Cytometry </t>
  </si>
  <si>
    <t xml:space="preserve">% parasitemia at Generation 0, 35-40hpi; in non-inducing conditions (+Choline); by Flow Cytometry </t>
  </si>
  <si>
    <t xml:space="preserve">% parasitemia at Generation 1, 25-30hpi; in non-inducing conditions (+Choline); by Flow Cytometry </t>
  </si>
  <si>
    <t xml:space="preserve">% parasitemia at Generation 1, 35-40hpi; in non-inducing conditions (+Choline); by Flow Cytometry </t>
  </si>
  <si>
    <t xml:space="preserve">Proportion of sexual infected red blood cells at Generation 1, 25-30hpi; in non-inducing conditions (+Choline); by Flow Cytometry </t>
  </si>
  <si>
    <t xml:space="preserve">Proportion of asexual infected red blood cells at Generation 1, 25-30hpi; in non-inducing conditions (+Choline); by Flow Cytometry </t>
  </si>
  <si>
    <t xml:space="preserve">Proportion of sexual infected red blood cells at Generation 1, 35-40hpi; in non-inducing conditions (+Choline); by Flow Cytometry </t>
  </si>
  <si>
    <t xml:space="preserve">Proportion of asexual infected red blood cells at Generation 1, 35-40hpi; in non-inducing conditions (+Choline); by Flow Cytometry </t>
  </si>
  <si>
    <t xml:space="preserve">Proportion of sexual infected red blood cells at Generation 1, 25-30hpi; in inducing conditions (-Choline); by Flow Cytometry </t>
  </si>
  <si>
    <t xml:space="preserve">Proportion of asexual infected red blood cells at Generation 1, 25-30hpi; in non-inducing conditions (-Choline); by Flow Cytometry </t>
  </si>
  <si>
    <t xml:space="preserve">Proportion of sexual infected red blood cells at Generation 1, 35-40hpi; in non-inducing conditions (-Choline); by Flow Cytometry </t>
  </si>
  <si>
    <t xml:space="preserve">Proportion of asexual infected red blood cells at Generation 1, 35-40hpi; in non-inducing conditions (-Choline); by Flow Cytometry </t>
  </si>
  <si>
    <t xml:space="preserve">Total number of infected red blood cells by Light Microscopy for parasite staging; at Generation 0, 35-40hpi; in non-inducing conditions (+Choline) </t>
  </si>
  <si>
    <t xml:space="preserve">Total number of infected red blood cells by Light Microscopy for parasite staging; at Generation 1, 25-30hpi; in non-inducing conditions (+Choline) </t>
  </si>
  <si>
    <t xml:space="preserve">Total number of infected red blood cells by Light Microscopy for parasite staging; at Generation 1, 35-40hpi; in non-inducing conditions (+Choline) </t>
  </si>
  <si>
    <t xml:space="preserve">Proportion of Tiny Ring stages counted by Light Microscopy for parasite staging; at Generation 0, 35-40hpi; in non-inducing conditions (+Choline) </t>
  </si>
  <si>
    <t xml:space="preserve">Proportion of Tiny Ring stages counted by Light Microscopy for parasite staging; at Generation 1, 25-30hpi; in non-inducing conditions (+Choline) </t>
  </si>
  <si>
    <t xml:space="preserve">Proportion of Tiny Ring stages counted by Light Microscopy for parasite staging; at Generation 1, 35-40hpi; in non-inducing conditions (+Choline) </t>
  </si>
  <si>
    <t xml:space="preserve">Proportion of Small Ring stages counted by Light Microscopy for parasite staging; at Generation 0, 35-40hpi; in non-inducing conditions (+Choline) </t>
  </si>
  <si>
    <t xml:space="preserve">Proportion of Small Ring stages counted by Light Microscopy for parasite staging; at Generation 1, 25-30hpi; in non-inducing conditions (+Choline) </t>
  </si>
  <si>
    <t xml:space="preserve">Proportion of Small Ring stages counted by Light Microscopy for parasite staging; at Generation 1, 35-40hpi; in non-inducing conditions (+Choline) </t>
  </si>
  <si>
    <t xml:space="preserve">Proportion of Late Ring stages counted by Light Microscopy for parasite staging; at Generation 0, 35-40hpi; in non-inducing conditions (+Choline) </t>
  </si>
  <si>
    <t xml:space="preserve">Proportion of Late Ring stages counted by Light Microscopy for parasite staging; at Generation 1, 25-30hpi; in non-inducing conditions (+Choline) </t>
  </si>
  <si>
    <t xml:space="preserve">Proportion of Late Ring stages counted by Light Microscopy for parasite staging; at Generation 1, 35-40hpi; in non-inducing conditions (+Choline) </t>
  </si>
  <si>
    <t xml:space="preserve">Proportion of Early Trophozoite stages counted by Light Microscopy for parasite staging; at Generation 0, 35-40hpi; in non-inducing conditions (+Choline) </t>
  </si>
  <si>
    <t xml:space="preserve">Proportion of Early Trophozoite stages counted by Light Microscopy for parasite staging; at Generation 1, 35-40hpi; in non-inducing conditions (+Choline) </t>
  </si>
  <si>
    <t xml:space="preserve">Proportion of Early Trophozoite stages counted by Light Microscopy for parasite staging; at Generation 1, 25-30hpi; in non-inducing conditions (+Choline) </t>
  </si>
  <si>
    <t xml:space="preserve">Proportion of Mid Trophozoite stages counted by Light Microscopy for parasite staging; at Generation 0, 35-40hpi; in non-inducing conditions (+Choline) </t>
  </si>
  <si>
    <t xml:space="preserve">Proportion of Mid Trophozoite stages counted by Light Microscopy for parasite staging; at Generation 1, 25-30hpi; in non-inducing conditions (+Choline) </t>
  </si>
  <si>
    <t xml:space="preserve">Proportion of Mid Trophozoite stages counted by Light Microscopy for parasite staging; at Generation 1, 35-40hpi; in non-inducing conditions (+Choline) </t>
  </si>
  <si>
    <t xml:space="preserve">Proportion of Late Trophozoite stages counted by Light Microscopy for parasite staging; at Generation 0, 35-40hpi; in non-inducing conditions (+Choline) </t>
  </si>
  <si>
    <t xml:space="preserve">Proportion of Late Trophozoite stages counted by Light Microscopy for parasite staging; at Generation 1, 25-30hpi; in non-inducing conditions (+Choline) </t>
  </si>
  <si>
    <t xml:space="preserve">Proportion of Late Trophozoite stages counted by Light Microscopy for parasite staging; at Generation 1, 35-40hpi; in non-inducing conditions (+Choline) </t>
  </si>
  <si>
    <t xml:space="preserve">Proportion of Early Schizont stages counted by Light Microscopy for parasite staging; at Generation 0, 35-40hpi; in non-inducing conditions (+Choline) </t>
  </si>
  <si>
    <t xml:space="preserve">Proportion of Early Schizont stages counted by Light Microscopy for parasite staging; at Generation 1, 25-30hpi; in non-inducing conditions (+Choline) </t>
  </si>
  <si>
    <t xml:space="preserve">Proportion of Early Schizont stages counted by Light Microscopy for parasite staging; at Generation 1, 35-40hpi; in non-inducing conditions (+Choline) </t>
  </si>
  <si>
    <t xml:space="preserve">Proportion of Late Schizont stages counted by Light Microscopy for parasite staging; at Generation 0, 35-40hpi; in non-inducing conditions (+Choline) </t>
  </si>
  <si>
    <t xml:space="preserve">Proportion of Late Schizont stages counted by Light Microscopy for parasite staging; at Generation 1, 25-30hpi; in non-inducing conditions (+Choline) </t>
  </si>
  <si>
    <t xml:space="preserve">Proportion of Late Schizont stages counted by Light Microscopy for parasite staging; at Generation 1, 35-40hpi; in non-inducing conditions (+Choline) </t>
  </si>
  <si>
    <t>Date when the sample was collected</t>
  </si>
  <si>
    <t>Date when IFA smear was stained for IFA</t>
  </si>
  <si>
    <t>Date o IFA counting</t>
  </si>
  <si>
    <t>Date when IFA smear was counted for IFA</t>
  </si>
  <si>
    <t>Date of IFA counting</t>
  </si>
  <si>
    <t>Reader 1 + Reader 2</t>
  </si>
  <si>
    <t>RDT_D0</t>
  </si>
  <si>
    <t>LM_D0</t>
  </si>
  <si>
    <t>LM_par_µL_D0</t>
  </si>
  <si>
    <t>LM_par_percentage_D0</t>
  </si>
  <si>
    <t>LM_Gam_per_µl_D0</t>
  </si>
  <si>
    <t>varATS_par_µL_D0</t>
  </si>
  <si>
    <t>varATS_par_percentage_D0</t>
  </si>
  <si>
    <t>What is the result of the Light microscopy diagnosis at the time of sample collection (Day 0 i.e., D0)?</t>
  </si>
  <si>
    <t>Light microscopy parasite counts per µL, at the time of sample collection (Day 0 i.e., D0)</t>
  </si>
  <si>
    <t>Light microscopy parasite counts as % on total counted red blood cells, at the time of sample collection (Day 0 i.e., D0)</t>
  </si>
  <si>
    <t>Light microscopy gametocyte counts per µL, at the time of sample collection (Day 0 i.e., D0)</t>
  </si>
  <si>
    <t>varATS qPCR results as parasites per µL, at the time of sample collection (Day 0 i.e., D0)</t>
  </si>
  <si>
    <t>varATS qPCR results as parasites %, at the time of sample collection (Day 0 i.e., D0)</t>
  </si>
  <si>
    <t>Proportion of sexual Pfs16+ parasites on the total counted parasites (DAPI+) by IFA after MACS at Day 1 (D1)</t>
  </si>
  <si>
    <t>Proportion of Asexual parasites on the total counted parasites (DAPI+) by IFA after MACS at Day 1 (D1)</t>
  </si>
  <si>
    <t>Mean_proportion Sexual par_Pfs16+_D1</t>
  </si>
  <si>
    <t>Mean_proportion Asexual par_D1</t>
  </si>
  <si>
    <t>FC SCR</t>
  </si>
  <si>
    <t>Median SCR_HbAA</t>
  </si>
  <si>
    <t>Median of "Mean SCR" in all HbAA samples</t>
  </si>
  <si>
    <r>
      <t xml:space="preserve">Fold change (FC) in HbXX (with XX = AC or AS) relative to "Median SCR" of all HbAA samples </t>
    </r>
    <r>
      <rPr>
        <i/>
        <sz val="10"/>
        <rFont val="Arial"/>
        <family val="2"/>
      </rPr>
      <t xml:space="preserve">i.e., </t>
    </r>
    <r>
      <rPr>
        <sz val="10"/>
        <rFont val="Arial"/>
        <family val="2"/>
      </rPr>
      <t>SCR in HbXX (with XX = AC or AS) divided by SCR in HbAA</t>
    </r>
  </si>
  <si>
    <t>Were gametocytes stage V present in the IFA smear and were excluded from the "Number of Pfs16+ sexual stages"?</t>
  </si>
  <si>
    <t>Median of "Mean SCR" in all HbAA</t>
  </si>
  <si>
    <t>FC_SCR_CHOLINE_Gen1_35to40hpi</t>
  </si>
  <si>
    <t>Reader 1 (main)</t>
  </si>
  <si>
    <t>Gametocytes_stageI_D1</t>
  </si>
  <si>
    <t>Asexual_stages_D1</t>
  </si>
  <si>
    <t>Date start experiment</t>
  </si>
  <si>
    <t xml:space="preserve">18-19/10/2022 </t>
  </si>
  <si>
    <t>09-10-25/01/2023 + 01/02/2023</t>
  </si>
  <si>
    <t>27/10/2022 + 02-07-08-09-13-15-16-17-21-28/02/2023+ 01/03/2023</t>
  </si>
  <si>
    <t>03-05/01/2023</t>
  </si>
  <si>
    <t>8-9/11/2022</t>
  </si>
  <si>
    <t>22-24/11/2022</t>
  </si>
  <si>
    <t>9,14,21-22-24/11/2022</t>
  </si>
  <si>
    <t>12/22/2022</t>
  </si>
  <si>
    <t>1-5/12/2022</t>
  </si>
  <si>
    <t>1-6-8-13-21/12/2022</t>
  </si>
  <si>
    <t>24-25/11/2022</t>
  </si>
  <si>
    <t>Stage proportion%</t>
  </si>
  <si>
    <t>Tiny Ring</t>
  </si>
  <si>
    <t>Small Ring</t>
  </si>
  <si>
    <t>Large Ring</t>
  </si>
  <si>
    <t>Early Troph</t>
  </si>
  <si>
    <t>Mid Troph</t>
  </si>
  <si>
    <t>Late Troph</t>
  </si>
  <si>
    <t>Early Schizont</t>
  </si>
  <si>
    <t>Late Schizont</t>
  </si>
  <si>
    <t>HPI</t>
  </si>
  <si>
    <t>Mean AGE</t>
  </si>
  <si>
    <t>meanHPI DELAY</t>
  </si>
  <si>
    <t xml:space="preserve">Hours of delay* </t>
  </si>
  <si>
    <t xml:space="preserve">Hours of delay$ </t>
  </si>
  <si>
    <t>*compared to expected 44hpi life cycle</t>
  </si>
  <si>
    <t>shift%</t>
  </si>
  <si>
    <t>$compared to same timepoint in Generation 1</t>
  </si>
  <si>
    <t>Total shift % per stage (general)*</t>
  </si>
  <si>
    <t>Rings</t>
  </si>
  <si>
    <t>Trophozoites</t>
  </si>
  <si>
    <t>Schizonts</t>
  </si>
  <si>
    <t>AA (reference)</t>
  </si>
  <si>
    <t>EXPECTED %PARASITE STAGE</t>
  </si>
  <si>
    <t>*</t>
  </si>
  <si>
    <t>- is more % acquired per stage</t>
  </si>
  <si>
    <t>+ is less % acquired per stage</t>
  </si>
  <si>
    <t>SPREADSHEET NAME</t>
  </si>
  <si>
    <t>Hours of delay*</t>
  </si>
  <si>
    <t>Measured parasite stages proportion in percentage at ~35-40 hpi (Generation 0 = Gen0 = G0) and ~35-40 hpi (Generation 1 = Gen1 = G1)</t>
  </si>
  <si>
    <t>Calculated age of the parasite stages based on the expected age (in hpi, hours post invasion) per stage multiplied by the observed "Stage proportion%"</t>
  </si>
  <si>
    <t xml:space="preserve">Calculated as a weighted average by multiplying the expected age (in hpi, hours post invasion) of each parasite stage (rings, trophozoites, schizonts) by their observed "Stage proportion%", summing the outcome, and dividing by the expected total stage proportions. </t>
  </si>
  <si>
    <t>Genotype-specific delay, calculated by subtracting the "Mean age" observed in wild-type HbAA RBCs from that of each mutant genotype (HbAC, HbAS, HbSS and HbSC).</t>
  </si>
  <si>
    <t xml:space="preserve">“Developmental delay (in hours)”  determined by subtracting the calculated “mean parasite age” from the expected life cycle duration of the NF54-gexp02-TdTom line (~44 hpi). </t>
  </si>
  <si>
    <t>“Developmental delay (in hours)” determined by substracting the "Mean Age" at Generation 1 from Generation 0</t>
  </si>
  <si>
    <t>Parasite stage-specific shifts (in %), quantified by comparing the proportions of each parasite stage ("Stage proportion%") in mutant RBCs to those in HbAA. Here, for all sub-divisions per general parasite stage group (e.g., Rings is sub-divided in tiny, small and large rings).</t>
  </si>
  <si>
    <t>Parasite stage-specific shifts (in %), quantified by comparing the proportions of each parasite stage ("Stage proportion%") in mutant RBCs to those in HbAA. Here,just  for each general parasite stage group (Rings, Trophozoites and Schizonts).</t>
  </si>
  <si>
    <t>Date in which the experiment has started at the day of percoll-sorbitol synchronization (Generation -1)</t>
  </si>
  <si>
    <t>Temporal (Ordinal)</t>
  </si>
  <si>
    <t>DATE</t>
  </si>
  <si>
    <t>"ivSCAs" + "ivSCAs - LM staging data"</t>
  </si>
  <si>
    <t>"ivSCAs-DelayAge_35-40hpi_G0" + "ivSCAs-DelayAge_35-40hpi_G1"</t>
  </si>
  <si>
    <t>Date Flow cytometry experiment</t>
  </si>
  <si>
    <t>Date in which samples were subjected to flow cytometry</t>
  </si>
  <si>
    <t>Flow Cytometry Data --&gt;</t>
  </si>
  <si>
    <t>iRBCs_IgG_PercentageCells</t>
  </si>
  <si>
    <t>iRBCs_IgG_MFI</t>
  </si>
  <si>
    <t>iRBCs_IgG_Events</t>
  </si>
  <si>
    <t>Sexual iRBCs_IgG_PercentageCells</t>
  </si>
  <si>
    <t>Sexual iRBCs_IgG_MFI</t>
  </si>
  <si>
    <t>Sexual iRBCs_IgG_Events</t>
  </si>
  <si>
    <t>iRBCs_IgG+_%</t>
  </si>
  <si>
    <t>iRBCs_IgG+_MFI</t>
  </si>
  <si>
    <t>iRBCs_IgG+_Events</t>
  </si>
  <si>
    <t>Sexual iRBCs_IgG+_%</t>
  </si>
  <si>
    <t>Sexual iRBCs_IgG+_MFI</t>
  </si>
  <si>
    <t>Sexual iRBCs_IgG+_Events</t>
  </si>
  <si>
    <t>Asexual iRBCs_IgG_PercentageCells</t>
  </si>
  <si>
    <t>Asexual iRBCs_IgG+_%</t>
  </si>
  <si>
    <t>Asexual iRBCs_IgG+_MFI</t>
  </si>
  <si>
    <t>Asexual iRBCs_IgG_MFI</t>
  </si>
  <si>
    <t>Asexual iRBCs_IgG_Events</t>
  </si>
  <si>
    <t>Asexual iRBCs_IgG+_Events</t>
  </si>
  <si>
    <t>iRBCs_IgM_PercentageCells</t>
  </si>
  <si>
    <t>iRBCs_IgM+_%</t>
  </si>
  <si>
    <t>iRBCs_IgM_MFI</t>
  </si>
  <si>
    <t>iRBCs_IgM+_MFI</t>
  </si>
  <si>
    <t>iRBCs_IgM_Events</t>
  </si>
  <si>
    <t>iRBCs_IgM+_Events</t>
  </si>
  <si>
    <t>Sexual iRBCs_IgM_PercentageCells</t>
  </si>
  <si>
    <t>Sexual iRBCs_IgM+_%</t>
  </si>
  <si>
    <t>Sexual iRBCs_IgM_MFI</t>
  </si>
  <si>
    <t>Sexual iRBCs_IgM+_MFI</t>
  </si>
  <si>
    <t>Sexual iRBCs_IgM_Events</t>
  </si>
  <si>
    <t>Sexual iRBCs_IgM+_Events</t>
  </si>
  <si>
    <t>Asexual iRBCs_IgM_PercentageCells</t>
  </si>
  <si>
    <t>Asexual iRBCs_IgM+_%</t>
  </si>
  <si>
    <t>Asexual iRBCs_IgM_MFI</t>
  </si>
  <si>
    <t>Asexual iRBCs_IgM+_MFI</t>
  </si>
  <si>
    <t>Asexual iRBCs_IgM_Events</t>
  </si>
  <si>
    <t>Asexual iRBCs_IgM+_Events</t>
  </si>
  <si>
    <t>iRBCs_Ratio_IgM-IgG_MFI</t>
  </si>
  <si>
    <t>iRBCs_Ratio_IgM-IgG_PercentageCells</t>
  </si>
  <si>
    <t>Sexual iRBCs_Ratio_IgM-IgG_MFI</t>
  </si>
  <si>
    <t>Sexual iRBCs_Ratio_IgM-IgG_PercentageCells</t>
  </si>
  <si>
    <t>Asexual iRBCs_Ratio_IgM-IgG_MFI</t>
  </si>
  <si>
    <t>Asexual iRBCs_Ratio_IgM-IgG_PercentageCells</t>
  </si>
  <si>
    <r>
      <t xml:space="preserve">Percentage of the TOTAL infected red blood cells that are positive for the Anti-human </t>
    </r>
    <r>
      <rPr>
        <b/>
        <sz val="11"/>
        <color theme="1"/>
        <rFont val="Calibri"/>
        <family val="2"/>
      </rPr>
      <t>IgG</t>
    </r>
    <r>
      <rPr>
        <sz val="11"/>
        <color theme="1"/>
        <rFont val="Calibri"/>
        <family val="2"/>
      </rPr>
      <t xml:space="preserve"> antibody; iRBCs = Troph-iRBCs.</t>
    </r>
  </si>
  <si>
    <r>
      <t xml:space="preserve">Mean fluorescence intensity (MFI) of the Anti-human </t>
    </r>
    <r>
      <rPr>
        <b/>
        <sz val="11"/>
        <color theme="1"/>
        <rFont val="Calibri"/>
        <family val="2"/>
      </rPr>
      <t xml:space="preserve">IgG </t>
    </r>
    <r>
      <rPr>
        <sz val="11"/>
        <color theme="1"/>
        <rFont val="Calibri"/>
        <family val="2"/>
      </rPr>
      <t xml:space="preserve">antibody that is bound on the </t>
    </r>
    <r>
      <rPr>
        <sz val="11"/>
        <color rgb="FF0070C0"/>
        <rFont val="Calibri"/>
        <family val="2"/>
      </rPr>
      <t>TOTAL</t>
    </r>
    <r>
      <rPr>
        <sz val="11"/>
        <color theme="1"/>
        <rFont val="Calibri"/>
        <family val="2"/>
      </rPr>
      <t xml:space="preserve"> infected red blood cells; iRBCs = Troph-iRBCs.</t>
    </r>
  </si>
  <si>
    <r>
      <rPr>
        <sz val="7"/>
        <color theme="1"/>
        <rFont val="Times New Roman"/>
        <family val="1"/>
      </rPr>
      <t> </t>
    </r>
    <r>
      <rPr>
        <sz val="11"/>
        <color theme="1"/>
        <rFont val="Calibri"/>
        <family val="2"/>
      </rPr>
      <t xml:space="preserve">Number of events corresponding to the </t>
    </r>
    <r>
      <rPr>
        <sz val="11"/>
        <color rgb="FF0070C0"/>
        <rFont val="Calibri"/>
        <family val="2"/>
      </rPr>
      <t xml:space="preserve">TOTAL </t>
    </r>
    <r>
      <rPr>
        <sz val="11"/>
        <color theme="1"/>
        <rFont val="Calibri"/>
        <family val="2"/>
      </rPr>
      <t xml:space="preserve">infected red blood cells that are positive for the Anti-human </t>
    </r>
    <r>
      <rPr>
        <b/>
        <sz val="11"/>
        <color theme="1"/>
        <rFont val="Calibri"/>
        <family val="2"/>
      </rPr>
      <t>IgG</t>
    </r>
    <r>
      <rPr>
        <sz val="11"/>
        <color theme="1"/>
        <rFont val="Calibri"/>
        <family val="2"/>
      </rPr>
      <t xml:space="preserve"> antibody (1 positive cell = 1 event); iRBCs = Troph-iRBCs.</t>
    </r>
  </si>
  <si>
    <r>
      <t xml:space="preserve">Percentage of the </t>
    </r>
    <r>
      <rPr>
        <sz val="11"/>
        <color rgb="FF0070C0"/>
        <rFont val="Calibri"/>
        <family val="2"/>
      </rPr>
      <t xml:space="preserve">SEXUAL (TdTom+) </t>
    </r>
    <r>
      <rPr>
        <sz val="11"/>
        <color theme="1"/>
        <rFont val="Calibri"/>
        <family val="2"/>
      </rPr>
      <t xml:space="preserve">infected red blood cells that are positive for the Anti-human </t>
    </r>
    <r>
      <rPr>
        <b/>
        <sz val="11"/>
        <color theme="1"/>
        <rFont val="Calibri"/>
        <family val="2"/>
      </rPr>
      <t>IgG</t>
    </r>
    <r>
      <rPr>
        <sz val="11"/>
        <color theme="1"/>
        <rFont val="Calibri"/>
        <family val="2"/>
      </rPr>
      <t xml:space="preserve"> antibody; iRBCs = Troph-iRBCs.</t>
    </r>
  </si>
  <si>
    <r>
      <t xml:space="preserve">Mean fluorescence intensity (MFI) of the Anti-human </t>
    </r>
    <r>
      <rPr>
        <b/>
        <sz val="11"/>
        <color theme="1"/>
        <rFont val="Calibri"/>
        <family val="2"/>
      </rPr>
      <t>IgG</t>
    </r>
    <r>
      <rPr>
        <sz val="11"/>
        <color theme="1"/>
        <rFont val="Calibri"/>
        <family val="2"/>
      </rPr>
      <t xml:space="preserve"> antibody that is bound on the </t>
    </r>
    <r>
      <rPr>
        <sz val="11"/>
        <color rgb="FF0070C0"/>
        <rFont val="Calibri"/>
        <family val="2"/>
      </rPr>
      <t xml:space="preserve">SEXUAL (TdTom+) </t>
    </r>
    <r>
      <rPr>
        <sz val="11"/>
        <color theme="1"/>
        <rFont val="Calibri"/>
        <family val="2"/>
      </rPr>
      <t>infected red blood cells; iRBCs = Troph-iRBCs.</t>
    </r>
  </si>
  <si>
    <r>
      <t xml:space="preserve">Percentage of the </t>
    </r>
    <r>
      <rPr>
        <sz val="11"/>
        <color rgb="FF0070C0"/>
        <rFont val="Calibri"/>
        <family val="2"/>
      </rPr>
      <t xml:space="preserve">ASEXUAL (TdTom-) </t>
    </r>
    <r>
      <rPr>
        <sz val="11"/>
        <color theme="1"/>
        <rFont val="Calibri"/>
        <family val="2"/>
      </rPr>
      <t xml:space="preserve">infected red blood cells that are positive for the Anti-human </t>
    </r>
    <r>
      <rPr>
        <b/>
        <sz val="11"/>
        <color theme="1"/>
        <rFont val="Calibri"/>
        <family val="2"/>
      </rPr>
      <t>IgG</t>
    </r>
    <r>
      <rPr>
        <sz val="11"/>
        <color theme="1"/>
        <rFont val="Calibri"/>
        <family val="2"/>
      </rPr>
      <t xml:space="preserve"> antibody; iRBCs = Troph-iRBCs.</t>
    </r>
  </si>
  <si>
    <r>
      <t xml:space="preserve">Number of events corresponding to the </t>
    </r>
    <r>
      <rPr>
        <sz val="11"/>
        <color rgb="FF0070C0"/>
        <rFont val="Calibri"/>
        <family val="2"/>
      </rPr>
      <t xml:space="preserve">SEXUAL (TdTom+) </t>
    </r>
    <r>
      <rPr>
        <sz val="11"/>
        <color theme="1"/>
        <rFont val="Calibri"/>
        <family val="2"/>
      </rPr>
      <t xml:space="preserve">infected red blood cells that are positive for the Anti-human </t>
    </r>
    <r>
      <rPr>
        <b/>
        <sz val="11"/>
        <color theme="1"/>
        <rFont val="Calibri"/>
        <family val="2"/>
      </rPr>
      <t xml:space="preserve">IgG </t>
    </r>
    <r>
      <rPr>
        <sz val="11"/>
        <color theme="1"/>
        <rFont val="Calibri"/>
        <family val="2"/>
      </rPr>
      <t>antibody (1 positive cell = 1 event); iRBCs = Troph-iRBCs.</t>
    </r>
  </si>
  <si>
    <r>
      <t xml:space="preserve">Mean fluorescence intensity (MFI) of the Anti-human </t>
    </r>
    <r>
      <rPr>
        <b/>
        <sz val="11"/>
        <color theme="1"/>
        <rFont val="Calibri"/>
        <family val="2"/>
      </rPr>
      <t>IgG</t>
    </r>
    <r>
      <rPr>
        <sz val="11"/>
        <color theme="1"/>
        <rFont val="Calibri"/>
        <family val="2"/>
      </rPr>
      <t xml:space="preserve"> antibody that is bound on the </t>
    </r>
    <r>
      <rPr>
        <sz val="11"/>
        <color rgb="FF0070C0"/>
        <rFont val="Calibri"/>
        <family val="2"/>
      </rPr>
      <t xml:space="preserve">ASEXUAL (TdTom-) </t>
    </r>
    <r>
      <rPr>
        <sz val="11"/>
        <color theme="1"/>
        <rFont val="Calibri"/>
        <family val="2"/>
      </rPr>
      <t>infected red blood cells; iRBCs = Troph-iRBCs.</t>
    </r>
  </si>
  <si>
    <r>
      <rPr>
        <sz val="7"/>
        <color theme="1"/>
        <rFont val="Times New Roman"/>
        <family val="1"/>
      </rPr>
      <t> </t>
    </r>
    <r>
      <rPr>
        <sz val="11"/>
        <color theme="1"/>
        <rFont val="Calibri"/>
        <family val="2"/>
      </rPr>
      <t xml:space="preserve">Number of events corresponding to the </t>
    </r>
    <r>
      <rPr>
        <sz val="11"/>
        <color rgb="FF0070C0"/>
        <rFont val="Calibri"/>
        <family val="2"/>
      </rPr>
      <t xml:space="preserve">ASEXUAL (TdTom+) </t>
    </r>
    <r>
      <rPr>
        <sz val="11"/>
        <color theme="1"/>
        <rFont val="Calibri"/>
        <family val="2"/>
      </rPr>
      <t xml:space="preserve">infected red blood cells that are positive for the Anti-human </t>
    </r>
    <r>
      <rPr>
        <b/>
        <sz val="11"/>
        <color theme="1"/>
        <rFont val="Calibri"/>
        <family val="2"/>
      </rPr>
      <t xml:space="preserve">IgG </t>
    </r>
    <r>
      <rPr>
        <sz val="11"/>
        <color theme="1"/>
        <rFont val="Calibri"/>
        <family val="2"/>
      </rPr>
      <t>antibody (1 positive cell = 1 event); iRBCs = Troph-iRBCs.</t>
    </r>
  </si>
  <si>
    <r>
      <t xml:space="preserve">Percentage of the TOTAL infected red blood cells that are positive for the Anti-human </t>
    </r>
    <r>
      <rPr>
        <b/>
        <sz val="11"/>
        <color theme="1"/>
        <rFont val="Calibri"/>
        <family val="2"/>
      </rPr>
      <t>IgM</t>
    </r>
    <r>
      <rPr>
        <sz val="11"/>
        <color theme="1"/>
        <rFont val="Calibri"/>
        <family val="2"/>
      </rPr>
      <t xml:space="preserve"> antibody; iRBCs = Troph-iRBCs.</t>
    </r>
  </si>
  <si>
    <r>
      <t xml:space="preserve">Mean fluorescence intensity (MFI) of the Anti-human </t>
    </r>
    <r>
      <rPr>
        <b/>
        <sz val="11"/>
        <color theme="1"/>
        <rFont val="Calibri"/>
        <family val="2"/>
      </rPr>
      <t xml:space="preserve">IgM </t>
    </r>
    <r>
      <rPr>
        <sz val="11"/>
        <color theme="1"/>
        <rFont val="Calibri"/>
        <family val="2"/>
      </rPr>
      <t xml:space="preserve">antibody that is bound on the </t>
    </r>
    <r>
      <rPr>
        <sz val="11"/>
        <color rgb="FF0070C0"/>
        <rFont val="Calibri"/>
        <family val="2"/>
      </rPr>
      <t>TOTAL</t>
    </r>
    <r>
      <rPr>
        <sz val="11"/>
        <color theme="1"/>
        <rFont val="Calibri"/>
        <family val="2"/>
      </rPr>
      <t xml:space="preserve"> infected red blood cells; iRBCs = Troph-iRBCs.</t>
    </r>
  </si>
  <si>
    <r>
      <t xml:space="preserve">Number of events corresponding to the </t>
    </r>
    <r>
      <rPr>
        <sz val="11"/>
        <color rgb="FF0070C0"/>
        <rFont val="Calibri"/>
        <family val="2"/>
      </rPr>
      <t xml:space="preserve">TOTAL </t>
    </r>
    <r>
      <rPr>
        <sz val="11"/>
        <color theme="1"/>
        <rFont val="Calibri"/>
        <family val="2"/>
      </rPr>
      <t xml:space="preserve">infected red blood cells that are positive for the Anti-human </t>
    </r>
    <r>
      <rPr>
        <b/>
        <sz val="11"/>
        <color theme="1"/>
        <rFont val="Calibri"/>
        <family val="2"/>
      </rPr>
      <t>IgM</t>
    </r>
    <r>
      <rPr>
        <sz val="11"/>
        <color theme="1"/>
        <rFont val="Calibri"/>
        <family val="2"/>
      </rPr>
      <t xml:space="preserve"> antibody (1 positive cell = 1 event); iRBCs = Troph-iRBCs.</t>
    </r>
  </si>
  <si>
    <r>
      <t xml:space="preserve">Percentage of the </t>
    </r>
    <r>
      <rPr>
        <sz val="11"/>
        <color rgb="FF0070C0"/>
        <rFont val="Calibri"/>
        <family val="2"/>
      </rPr>
      <t xml:space="preserve">SEXUAL (TdTom+) </t>
    </r>
    <r>
      <rPr>
        <sz val="11"/>
        <color theme="1"/>
        <rFont val="Calibri"/>
        <family val="2"/>
      </rPr>
      <t xml:space="preserve">infected red blood cells that are positive for the Anti-human </t>
    </r>
    <r>
      <rPr>
        <b/>
        <sz val="11"/>
        <color theme="1"/>
        <rFont val="Calibri"/>
        <family val="2"/>
      </rPr>
      <t>IgM</t>
    </r>
    <r>
      <rPr>
        <sz val="11"/>
        <color theme="1"/>
        <rFont val="Calibri"/>
        <family val="2"/>
      </rPr>
      <t xml:space="preserve"> antibody; iRBCs = Troph-iRBCs.</t>
    </r>
  </si>
  <si>
    <r>
      <t xml:space="preserve">Mean fluorescence intensity (MFI) of the Anti-human </t>
    </r>
    <r>
      <rPr>
        <b/>
        <sz val="11"/>
        <color theme="1"/>
        <rFont val="Calibri"/>
        <family val="2"/>
      </rPr>
      <t xml:space="preserve">IgM </t>
    </r>
    <r>
      <rPr>
        <sz val="11"/>
        <color theme="1"/>
        <rFont val="Calibri"/>
        <family val="2"/>
      </rPr>
      <t xml:space="preserve">antibody that is bound on the </t>
    </r>
    <r>
      <rPr>
        <sz val="11"/>
        <color rgb="FF0070C0"/>
        <rFont val="Calibri"/>
        <family val="2"/>
      </rPr>
      <t xml:space="preserve">SEXUAL (TdTom+) </t>
    </r>
    <r>
      <rPr>
        <sz val="11"/>
        <color theme="1"/>
        <rFont val="Calibri"/>
        <family val="2"/>
      </rPr>
      <t>infected red blood cells; iRBCs = Troph-iRBCs.</t>
    </r>
  </si>
  <si>
    <r>
      <t xml:space="preserve">Number of events corresponding to the </t>
    </r>
    <r>
      <rPr>
        <sz val="11"/>
        <color rgb="FF0070C0"/>
        <rFont val="Calibri"/>
        <family val="2"/>
      </rPr>
      <t xml:space="preserve">SEXUAL (TdTom+) </t>
    </r>
    <r>
      <rPr>
        <sz val="11"/>
        <color theme="1"/>
        <rFont val="Calibri"/>
        <family val="2"/>
      </rPr>
      <t xml:space="preserve">infected red blood cells that are positive for the Anti-human </t>
    </r>
    <r>
      <rPr>
        <b/>
        <sz val="11"/>
        <color theme="1"/>
        <rFont val="Calibri"/>
        <family val="2"/>
      </rPr>
      <t xml:space="preserve">IgM </t>
    </r>
    <r>
      <rPr>
        <sz val="11"/>
        <color theme="1"/>
        <rFont val="Calibri"/>
        <family val="2"/>
      </rPr>
      <t>antibody (1 positive cell = 1 event); iRBCs = Troph-iRBCs.</t>
    </r>
  </si>
  <si>
    <r>
      <rPr>
        <sz val="7"/>
        <color theme="1"/>
        <rFont val="Times New Roman"/>
        <family val="1"/>
      </rPr>
      <t xml:space="preserve"> </t>
    </r>
    <r>
      <rPr>
        <sz val="11"/>
        <color theme="1"/>
        <rFont val="Calibri"/>
        <family val="2"/>
      </rPr>
      <t xml:space="preserve">Percentage of the </t>
    </r>
    <r>
      <rPr>
        <sz val="11"/>
        <color rgb="FF0070C0"/>
        <rFont val="Calibri"/>
        <family val="2"/>
      </rPr>
      <t xml:space="preserve">ASEXUAL (TdTom-) </t>
    </r>
    <r>
      <rPr>
        <sz val="11"/>
        <color theme="1"/>
        <rFont val="Calibri"/>
        <family val="2"/>
      </rPr>
      <t xml:space="preserve">infected red blood cells that are positive for the Anti-human </t>
    </r>
    <r>
      <rPr>
        <b/>
        <sz val="11"/>
        <color theme="1"/>
        <rFont val="Calibri"/>
        <family val="2"/>
      </rPr>
      <t>IgM</t>
    </r>
    <r>
      <rPr>
        <sz val="11"/>
        <color theme="1"/>
        <rFont val="Calibri"/>
        <family val="2"/>
      </rPr>
      <t xml:space="preserve"> antibody; iRBCs = Troph-iRBCs.</t>
    </r>
  </si>
  <si>
    <r>
      <rPr>
        <sz val="7"/>
        <color theme="1"/>
        <rFont val="Times New Roman"/>
        <family val="1"/>
      </rPr>
      <t xml:space="preserve"> </t>
    </r>
    <r>
      <rPr>
        <sz val="11"/>
        <color theme="1"/>
        <rFont val="Calibri"/>
        <family val="2"/>
      </rPr>
      <t xml:space="preserve">Mean fluorescence intensity (MFI) of the Anti-human </t>
    </r>
    <r>
      <rPr>
        <b/>
        <sz val="11"/>
        <color theme="1"/>
        <rFont val="Calibri"/>
        <family val="2"/>
      </rPr>
      <t>IgM</t>
    </r>
    <r>
      <rPr>
        <sz val="11"/>
        <color theme="1"/>
        <rFont val="Calibri"/>
        <family val="2"/>
      </rPr>
      <t xml:space="preserve"> antibody that is bound on the </t>
    </r>
    <r>
      <rPr>
        <sz val="11"/>
        <color rgb="FF0070C0"/>
        <rFont val="Calibri"/>
        <family val="2"/>
      </rPr>
      <t xml:space="preserve">ASEXUAL (TdTom-) </t>
    </r>
    <r>
      <rPr>
        <sz val="11"/>
        <color theme="1"/>
        <rFont val="Calibri"/>
        <family val="2"/>
      </rPr>
      <t>infected red blood cells; iRBCs = Troph-iRBCs.</t>
    </r>
  </si>
  <si>
    <r>
      <t xml:space="preserve">Number of events corresponding to the </t>
    </r>
    <r>
      <rPr>
        <sz val="11"/>
        <color rgb="FF0070C0"/>
        <rFont val="Calibri"/>
        <family val="2"/>
      </rPr>
      <t xml:space="preserve">ASEXUAL (TdTom+) </t>
    </r>
    <r>
      <rPr>
        <sz val="11"/>
        <color theme="1"/>
        <rFont val="Calibri"/>
        <family val="2"/>
      </rPr>
      <t xml:space="preserve">infected red blood cells that are positive for the Anti-human </t>
    </r>
    <r>
      <rPr>
        <b/>
        <sz val="11"/>
        <color theme="1"/>
        <rFont val="Calibri"/>
        <family val="2"/>
      </rPr>
      <t>IgM</t>
    </r>
    <r>
      <rPr>
        <sz val="11"/>
        <color theme="1"/>
        <rFont val="Calibri"/>
        <family val="2"/>
      </rPr>
      <t>antibody (1 positive cell = 1 event); iRBCs = Troph-iRBCs.</t>
    </r>
  </si>
  <si>
    <t>Ratio of the "iRBCs_IgM_MFI" divided by the "iRBCs_IgG_MFI"; iRBCs = Troph-iRBCs.</t>
  </si>
  <si>
    <t>Ratio of the "iRBCs_IgM_PercentageCells" divided by the "iRBCs_IgG_PercentageCells"; iRBCs = Troph-iRBCs.</t>
  </si>
  <si>
    <t>Ratio of the "Sexual iRBCs_IgM_MFI" divided by the "iRBCs_IgG_MFI"; iRBCs = Troph-iRBCs.</t>
  </si>
  <si>
    <t>Ratio of the "Sexual iRBCs_IgM_PercentageCells" divided by the "iRBCs_IgG_PercentageCells"; iRBCs = Troph-iRBCs.</t>
  </si>
  <si>
    <t>Ratio of the "Asexual iRBCs_IgM_MFI" divided by the "iRBCs_IgG_MFI"; iRBCs = Troph-iRBCs.</t>
  </si>
  <si>
    <t>Ratio of the "Asexual iRBCs_IgM_PercentageCells" divided by the "iRBCs_IgG_PercentageCells"; iRBCs = Troph-iRBCs.</t>
  </si>
  <si>
    <t>Reader 1</t>
  </si>
  <si>
    <t xml:space="preserve">Reader 1 </t>
  </si>
  <si>
    <t>shift%*</t>
  </si>
  <si>
    <t>Shift = Developmental delay by parasite stage</t>
  </si>
  <si>
    <t>SUPPLEMENTARY TABLE 2</t>
  </si>
  <si>
    <t>PMR</t>
  </si>
  <si>
    <t>Late stages ~35-40 hpi (Generation 0) (%)</t>
  </si>
  <si>
    <t>Late stages ~25-30 hpi (Generation 1) (%)</t>
  </si>
  <si>
    <t>Late stages ~35-40 hpi (Generation 1) (%)</t>
  </si>
  <si>
    <t>Fold change 1*</t>
  </si>
  <si>
    <t>Fold change 2 £</t>
  </si>
  <si>
    <t>Parasite development</t>
  </si>
  <si>
    <r>
      <t>LateStages_Proportion_CHOLINE_</t>
    </r>
    <r>
      <rPr>
        <b/>
        <sz val="11"/>
        <color rgb="FF0070C0"/>
        <rFont val="Aptos Narrow"/>
        <family val="2"/>
        <scheme val="minor"/>
      </rPr>
      <t xml:space="preserve">Gen0_35to40hpi </t>
    </r>
    <r>
      <rPr>
        <b/>
        <sz val="11"/>
        <rFont val="Aptos Narrow"/>
        <family val="2"/>
        <scheme val="minor"/>
      </rPr>
      <t>(%)</t>
    </r>
  </si>
  <si>
    <r>
      <t>LateStages_Proportion_CHOLINE_</t>
    </r>
    <r>
      <rPr>
        <b/>
        <sz val="11"/>
        <color rgb="FF0070C0"/>
        <rFont val="Aptos Narrow"/>
        <family val="2"/>
        <scheme val="minor"/>
      </rPr>
      <t>Gen1_25to30hpi</t>
    </r>
    <r>
      <rPr>
        <b/>
        <sz val="11"/>
        <rFont val="Aptos Narrow"/>
        <family val="2"/>
        <scheme val="minor"/>
      </rPr>
      <t xml:space="preserve"> (%)</t>
    </r>
  </si>
  <si>
    <r>
      <t>LateStagesProportion_CHOLINE_</t>
    </r>
    <r>
      <rPr>
        <b/>
        <sz val="11"/>
        <color rgb="FF0070C0"/>
        <rFont val="Aptos Narrow"/>
        <family val="2"/>
        <scheme val="minor"/>
      </rPr>
      <t xml:space="preserve">Gen1_35to40hpi </t>
    </r>
    <r>
      <rPr>
        <b/>
        <sz val="11"/>
        <rFont val="Aptos Narrow"/>
        <family val="2"/>
        <scheme val="minor"/>
      </rPr>
      <t>(%)</t>
    </r>
  </si>
  <si>
    <t>Fold change1</t>
  </si>
  <si>
    <t xml:space="preserve">Fold change2 </t>
  </si>
  <si>
    <t xml:space="preserve">HbAA </t>
  </si>
  <si>
    <t>EXPECTED DEVELOPMENT</t>
  </si>
  <si>
    <t>PARASITE DEVELOPMENT CLASSIFICATION</t>
  </si>
  <si>
    <t>(1) CALCULATION OF MEDIAN AND INTERQUARTILE RANGES:</t>
  </si>
  <si>
    <t>Q1</t>
  </si>
  <si>
    <t>25th percentile</t>
  </si>
  <si>
    <t>DELAYED DEVELOPMENT</t>
  </si>
  <si>
    <t>Q2</t>
  </si>
  <si>
    <t>Median/50th percentile</t>
  </si>
  <si>
    <t>Q3</t>
  </si>
  <si>
    <t>75th percentile</t>
  </si>
  <si>
    <t>Q4</t>
  </si>
  <si>
    <t>Max value, 100th percentile</t>
  </si>
  <si>
    <t>Fold-change1</t>
  </si>
  <si>
    <t xml:space="preserve">MEDIAN </t>
  </si>
  <si>
    <t>OUTLIER</t>
  </si>
  <si>
    <t>(PARTIAL) ARREST/EXTREMELY DELAYED DEVELOPMENT</t>
  </si>
  <si>
    <t>Fold-change2</t>
  </si>
  <si>
    <t>HbSS</t>
  </si>
  <si>
    <t>LateStagesProp1</t>
  </si>
  <si>
    <t>LateStagesProp2</t>
  </si>
  <si>
    <t>Fold change 1: from late stages proportion at ~35-40 hpi (Generation 0) to ~25-30 hpi (Generation 1)</t>
  </si>
  <si>
    <t>£</t>
  </si>
  <si>
    <t xml:space="preserve">Fold change 2: : from late stages proportion at  ~25-30 hpi (Generation 1) to ~35-40 hpi (Generation 1) </t>
  </si>
  <si>
    <t>(2) CALCULATION OF PERCENTAGES IN EACH DEVELOPMENTAL CLASSIFICATION</t>
  </si>
  <si>
    <t>Total n</t>
  </si>
  <si>
    <t>n EXPECTED DEVELOPMENT</t>
  </si>
  <si>
    <t>n DELAYED DEVELOPMENT</t>
  </si>
  <si>
    <t>n PARTIAL ARREST/EXTREMELY DELAYED DEVELOPMENT</t>
  </si>
  <si>
    <t>% EXPECTED DEVELOPMENT</t>
  </si>
  <si>
    <t>% DELAYED DEVELOPMENT</t>
  </si>
  <si>
    <t>% PARTIAL ARREST/EXTREMELY DELAYED DEVELOPMENT</t>
  </si>
  <si>
    <t>LateStagesProp3</t>
  </si>
  <si>
    <t>Parasite development Pattern</t>
  </si>
  <si>
    <t>SCR (%) ~35-40 hpi (Generation 1)</t>
  </si>
  <si>
    <t>Number of Pfs16+ gametocytes stage I</t>
  </si>
  <si>
    <t>Parasite development and age at ~35-40 hpi (Gen0) - for assessment of potential delay</t>
  </si>
  <si>
    <t>Parasite development and age at ~35-40 hpi (Gen1) - for assessment of potential delay</t>
  </si>
  <si>
    <t>Raw iRBC counts_CHOLINE_Gen1_35to40hpi</t>
  </si>
  <si>
    <t>Raw Sexual iRBCs counts_CHOLINE_Gen1_35to40hpi</t>
  </si>
  <si>
    <t>Raw Asexual iRBCs counts_CHOLINE_Gen1_35to40hpi</t>
  </si>
  <si>
    <t xml:space="preserve">Raw number of iRBCs counted based on 100,000 events and "iRBCs_CHOLINE_Gen1_35to40hpi"; in non-inducing conditions (+Choline); by Flow Cytometry </t>
  </si>
  <si>
    <t xml:space="preserve">Raw number of sexual iRBCs counted based on "Raw iRBC counts_CHOLINE_Gen1_35to40hpi"; in non-inducing conditions (+Choline); by Flow Cytometry </t>
  </si>
  <si>
    <t xml:space="preserve">Raw number of asexual iRBCs counted based on "Raw iRBC counts_CHOLINE_Gen1_35to40hpi"; in non-inducing conditions (+Choline); by Flow Cytometry </t>
  </si>
  <si>
    <t>Sexual_iRBCs_NOCHOLINE_Gen1_25to30hpi</t>
  </si>
  <si>
    <t>Group</t>
  </si>
  <si>
    <t>AA CTRL</t>
  </si>
  <si>
    <t xml:space="preserve">AA </t>
  </si>
  <si>
    <t>Genotype group and specified control (CTRL) sample</t>
  </si>
  <si>
    <t>Sample group</t>
  </si>
  <si>
    <t>AA CTRL, AA, AC, AS, SS or SC</t>
  </si>
  <si>
    <t>Raw counts_RBC_CHOLINE_Gen0_0-5hpi</t>
  </si>
  <si>
    <t>Raw counts_iRBCs_CHOLINE_Gen0_0-5hpi</t>
  </si>
  <si>
    <t>Raw counts_iRBCs_CHOLINE_Gen0_35-40hpi</t>
  </si>
  <si>
    <t>Raw counts_Late stages_CHOLINE_Gen0_35-40hpi</t>
  </si>
  <si>
    <t>Raw counts_iRBCs_CHOLINE_Gen1_25-30hpi</t>
  </si>
  <si>
    <t>Raw counts_Asexual iRBCs_CHOLINE_Gen1_25-30hpi</t>
  </si>
  <si>
    <t>Raw counts_Sexual iRBCs_CHOLINE_Gen1_25-30hpi</t>
  </si>
  <si>
    <t>Raw counts_Late stages_CHOLINE_Gen1_25-30hpi</t>
  </si>
  <si>
    <t>Raw counts_iRBCs_CHOLINE_Gen1_35-40hpi</t>
  </si>
  <si>
    <t>Raw counts_Asexual iRBCs_CHOLINE_Gen1_35-40hpi</t>
  </si>
  <si>
    <t>Raw counts_Sexual iRBCs_CHOLINE_Gen1_35-40hpi</t>
  </si>
  <si>
    <t>Raw counts_Late stages_CHOLINE_Gen1_35-40hpi</t>
  </si>
  <si>
    <t>Raw counts_iRBCs_NO CHOLINE_Gen1_25-30hpi</t>
  </si>
  <si>
    <t>Raw counts_Asexual iRBCs_NO CHOLINE_Gen1_25-30hpi</t>
  </si>
  <si>
    <t>Raw counts_Sexual iRBCs_NO CHOLINE_Gen1_25-30hpi</t>
  </si>
  <si>
    <t>Raw counts_iRBCs_NO CHOLINE_Gen1_35-40hpi</t>
  </si>
  <si>
    <t>Raw counts_Asexual iRBCs_NO CHOLINE_Gen1_35-40hpi</t>
  </si>
  <si>
    <t>Raw counts_Sexual iRBCs_NO CHOLINE_Gen1_35-40hpi</t>
  </si>
  <si>
    <t>Raw counts_Retics_Reticulocytes</t>
  </si>
  <si>
    <t>Raw counts_Retics_total RBCs</t>
  </si>
  <si>
    <t xml:space="preserve">BX and BY columns: Initial parasitemia counts at 0-5hpi </t>
  </si>
  <si>
    <t>BZ and CA columns: +Choline cultures at Gen0 35-40hpi: Late stages proportion</t>
  </si>
  <si>
    <t>CB to CE columns: +Choline cultures at Gen1 25-30hpi, Sexual conversion data (CB, CC and CD) and Late stages proportion data (CB and CE)</t>
  </si>
  <si>
    <t>CF to CI columns: +Choline cultures at Gen1 35-40hpi, Sexual conversion data (CF, CG and CI) and Late stages proportion data (CF and CI)</t>
  </si>
  <si>
    <t xml:space="preserve">CJ to CL columns: -Choline cultures at Gen1 25-30hpi, Sexual conversion data </t>
  </si>
  <si>
    <t xml:space="preserve">CM to CO columns: -Choline cultures at Gen1 35-40hpi, Sexual conversion data </t>
  </si>
  <si>
    <t>CP to CQ: Reticulocytes proportion data (CP/CQ)*100</t>
  </si>
  <si>
    <t>Raw counts of RBCs by Flow Cytometry; in +Choline cultures; at 0-5 hpi Generation 0; to calculate intitial parasitemia proportion = (Raw iRBC counts/Raw RBC counts)*100</t>
  </si>
  <si>
    <t>Raw counts of iRBCs by Flow Cytometry; in +Choline cultures; at 0-5 hpi Generation 0; to calculate intitial parasitemia proportion = (Raw iRBC counts/Raw RBC counts)*100</t>
  </si>
  <si>
    <t>Raw counts of iRBCs by Flow Cytometry; in +Choline cultures; at 35-40 hpi Generation 0; to calculate Late stages proportion = (Raw counts Late stages/Raw iRBC counts)*100</t>
  </si>
  <si>
    <t>Raw counts of Late stages by Flow Cytometry; in +Choline cultures; at 35-40 hpi Generation 0; to calculate Late stages proportion = (Raw counts Late stages/Raw iRBC counts)*100</t>
  </si>
  <si>
    <t>Raw counts of iRBCs by Flow Cytometry; in +Choline cultures; at 25-30 hpi Generation 1; to calculate SCR = (Raw sexual iRBC counts/[Raw sexual iRBC counts + Raw Asexual iRBC counts])*100</t>
  </si>
  <si>
    <t>Raw counts of Asexual iRBCs by Flow Cytometry; in +Choline cultures; at 25-30 hpi Generation 1; to calculate SCR = (Raw sexual iRBC counts/[Raw sexual iRBC counts + Raw Asexual iRBC counts])*100</t>
  </si>
  <si>
    <t>Raw counts of Sexual iRBCs by Flow Cytometry; in +Choline cultures; at 25-30 hpi Generation 1; to calculate SCR = (Raw sexual iRBC counts/[Raw sexual iRBC counts + Raw Asexual iRBC counts])*100</t>
  </si>
  <si>
    <t>Raw counts of Late stages by Flow Cytometry; in +Choline cultures; at 25-30 hpi Generation 1; to calculate Late stages proportion = (Raw counts Late stages/Raw iRBC counts)*100</t>
  </si>
  <si>
    <t>Raw counts of iRBCs by Flow Cytometry; in +Choline cultures; at 35-40 hpi Generation 1; to calculate SCR = (Raw sexual iRBC counts/[Raw sexual iRBC counts + Raw Asexual iRBC counts])*100</t>
  </si>
  <si>
    <t>Raw counts of Asexual iRBCs by Flow Cytometry; in +Choline cultures; at 35-40 hpi Generation 1; to calculate SCR = (Raw sexual iRBC counts/[Raw sexual iRBC counts + Raw Asexual iRBC counts])*100</t>
  </si>
  <si>
    <t>Raw counts of Sexual iRBCs by Flow Cytometry; in +Choline cultures; at 35-40 hpi Generation 1; to calculate SCR = (Raw sexual iRBC counts/[Raw sexual iRBC counts + Raw Asexual iRBC counts])*100</t>
  </si>
  <si>
    <t>Raw counts of Late stages by Flow Cytometry; in +Choline cultures; at 35-40 hpi Generation 1; to calculate Late stages proportion = (Raw counts Late stages/Raw iRBC counts)*100</t>
  </si>
  <si>
    <t>Raw counts of iRBCs by Flow Cytometry; in -Choline cultures; at 25-30 hpi Generation 1; to calculate SCR = (Raw sexual iRBC counts/[Raw sexual iRBC counts + Raw Asexual iRBC counts])*100</t>
  </si>
  <si>
    <t>Raw counts of Asexual iRBCs by Flow Cytometry; in -Choline cultures; at 25-30 hpi Generation 1; to calculate SCR = (Raw sexual iRBC counts/[Raw sexual iRBC counts + Raw Asexual iRBC counts])*100</t>
  </si>
  <si>
    <t>Raw counts of Sexual iRBCs by Flow Cytometry; in -Choline cultures; at 25-30 hpi Generation 1; to calculate SCR = (Raw sexual iRBC counts/[Raw sexual iRBC counts + Raw Asexual iRBC counts])*100</t>
  </si>
  <si>
    <t>Raw counts of iRBCs by Flow Cytometry; in -Choline cultures; at 35-40 hpi Generation 1; to calculate SCR = (Raw sexual iRBC counts/[Raw sexual iRBC counts + Raw Asexual iRBC counts])*100</t>
  </si>
  <si>
    <t>Raw counts of Asexual iRBCs by Flow Cytometry; in -Choline cultures; at 35-40 hpi Generation 1; to calculate SCR = (Raw sexual iRBC counts/[Raw sexual iRBC counts + Raw Asexual iRBC counts])*100</t>
  </si>
  <si>
    <t>Raw counts of Sexual iRBCs by Flow Cytometry; in -Choline cultures; at 35-40 hpi Generation 1; to calculate SCR = (Raw sexual iRBC counts/[Raw sexual iRBC counts + Raw Asexual iRBC counts])*100</t>
  </si>
  <si>
    <t>Raw counts of reticulocytes counted by Light Microscopy with Methylene Blue staining; to calculate reticulocyes proportion = (Raw counts Reticulocytes/Raw counts total RBCs)*100</t>
  </si>
  <si>
    <t>Raw counts of total RBCs counted by Light Microscopy with Methylene Blue staining; to calculate reticulocyes proportion = (Raw counts Reticulocytes/Raw counts total RBCs)*100</t>
  </si>
  <si>
    <t>Total_parasite_counts</t>
  </si>
  <si>
    <t>Gametocyte_counts</t>
  </si>
  <si>
    <t>Sample</t>
  </si>
  <si>
    <r>
      <t xml:space="preserve">Cultured </t>
    </r>
    <r>
      <rPr>
        <i/>
        <sz val="10"/>
        <rFont val="Arial"/>
        <family val="2"/>
      </rPr>
      <t xml:space="preserve">P. falciparum </t>
    </r>
    <r>
      <rPr>
        <sz val="10"/>
        <rFont val="Arial"/>
        <family val="2"/>
      </rPr>
      <t>sample, three triplicates per culture (sample/culture number "1" = three replicates with each as number "1")</t>
    </r>
  </si>
  <si>
    <t>INT</t>
  </si>
  <si>
    <t>Raw counts_RBC_CHOLINE_Gen0_0to5hpi</t>
  </si>
  <si>
    <t>Raw counts_iRBCs_CHOLINE_Gen0_0to5hpi</t>
  </si>
  <si>
    <t>Raw counts_iRBCs_CHOLINE_Gen0_35to40hpi</t>
  </si>
  <si>
    <t>Raw counts_Late stages_CHOLINE_Gen0_35to40hpi</t>
  </si>
  <si>
    <t>Raw counts_iRBCs_CHOLINE_Gen1_25to30hpi</t>
  </si>
  <si>
    <t>Raw counts_Asexual iRBCs_CHOLINE_Gen1_25to30hpi</t>
  </si>
  <si>
    <t>Raw counts_Sexual iRBCs_CHOLINE_Gen1_25to30hpi</t>
  </si>
  <si>
    <t>Raw counts_Late stages_CHOLINE_Gen1_25to30hpi</t>
  </si>
  <si>
    <t>Raw counts_iRBCs_CHOLINE_Gen1_35to40hpi</t>
  </si>
  <si>
    <t>Raw counts_Asexual iRBCs_CHOLINE_Gen1_35to40hpi</t>
  </si>
  <si>
    <t>Raw counts_Sexual iRBCs_CHOLINE_Gen1_35to40hpi</t>
  </si>
  <si>
    <t>Raw counts_Late stages_CHOLINE_Gen1_35to40hpi</t>
  </si>
  <si>
    <t>Raw counts_iRBCs_NO CHOLINE_Gen1_25to30hpi</t>
  </si>
  <si>
    <t>Raw counts_Asexual iRBCs_NO CHOLINE_Gen1_25to30hpi</t>
  </si>
  <si>
    <t>Raw counts_Sexual iRBCs_NO CHOLINE_Gen1_25to30hpi</t>
  </si>
  <si>
    <t>Raw counts_iRBCs_NO CHOLINE_Gen1_35to40hpi</t>
  </si>
  <si>
    <t>Raw counts_Asexual iRBCs_NO CHOLINE_Gen1_35to40hpi</t>
  </si>
  <si>
    <t>Raw counts_Sexual iRBCs_NO CHOLINE_Gen1_35to40hpi</t>
  </si>
  <si>
    <t>BX to CQ columns: GLMM analysis (proportion on counts) --&gt;</t>
  </si>
  <si>
    <t>Raw IgG+ iRBC counts</t>
  </si>
  <si>
    <t>Raw IgG+ Asexual iRBC counts</t>
  </si>
  <si>
    <t>Raw IgG+ Sexual iRBC counts</t>
  </si>
  <si>
    <t>Raw IgM+ iRBC counts</t>
  </si>
  <si>
    <t>Raw IgM+ Asexual iRBC counts</t>
  </si>
  <si>
    <t>Raw IgM+ Sexual iRBC counts</t>
  </si>
  <si>
    <t>Raw IgG+ RBC counts_IgG plate</t>
  </si>
  <si>
    <t>Raw IgM+ RBC counts_IgM plate</t>
  </si>
  <si>
    <t>Flow cytometry Raw counts (or events) of IgG+ RBCs (IgG plate)</t>
  </si>
  <si>
    <t>Flow cytometry Raw counts (or events) of IgM+ RBCs (IgM plate)</t>
  </si>
  <si>
    <t>Sample ID</t>
  </si>
  <si>
    <t>HbAA CTRL</t>
  </si>
  <si>
    <t>Raw IgG- iRBC counts</t>
  </si>
  <si>
    <t>Raw IgG- Asexual iRBC counts</t>
  </si>
  <si>
    <t>Raw IgG- Sexual iRBC counts</t>
  </si>
  <si>
    <t>Raw IgM- iRBC counts</t>
  </si>
  <si>
    <t>Raw IgM- Asexual iRBC counts</t>
  </si>
  <si>
    <t>Raw IgM- Sexual iRBC counts</t>
  </si>
  <si>
    <t>Flow Cytometry Data --&gt; GLMM analysis (proportion on counts); IgG+ and IgM+ RBCs/iRBCs --&gt;</t>
  </si>
  <si>
    <t>IgG- and IgM- RBCs/iRBCs--&gt;</t>
  </si>
  <si>
    <t xml:space="preserve">Flow cytometry Raw counts (or events) of IgG+ iRBCs </t>
  </si>
  <si>
    <t xml:space="preserve">Flow cytometry Raw counts (or events) of IgM+ iRBCs </t>
  </si>
  <si>
    <t xml:space="preserve">Flow cytometry Raw counts (or events) of IgG- iRBCs </t>
  </si>
  <si>
    <t xml:space="preserve">Flow cytometry Raw counts (or events) of  IgG- Asexual iRBCs </t>
  </si>
  <si>
    <t>Flow cytometry Raw counts (or events) of  IgG- Sexual iRBCs</t>
  </si>
  <si>
    <t xml:space="preserve">Flow cytometry Raw counts (or events) of IgM- iRBCs </t>
  </si>
  <si>
    <t xml:space="preserve">Flow cytometry Raw counts (or events) of IgM- Asexual  iRBCs </t>
  </si>
  <si>
    <t xml:space="preserve">Flow cytometry Raw counts (or events) of IgM- Sexual iRBCs </t>
  </si>
  <si>
    <t xml:space="preserve">Flow cytometry Raw counts (or events) of IgM+ Asexual  iRBCs </t>
  </si>
  <si>
    <t xml:space="preserve">Flow cytometry Raw counts (or events) of IgM+ Sexual iRBCs </t>
  </si>
  <si>
    <t xml:space="preserve">Flow cytometry Raw counts (or events) of  IgG+ Asexual iRBCs </t>
  </si>
  <si>
    <t>Flow cytometry Raw counts (or events) of  IgG+ Sexual iRBCs</t>
  </si>
  <si>
    <t>Raw IgG+ RBC counts</t>
  </si>
  <si>
    <t>Raw IgM+ RBC counts</t>
  </si>
  <si>
    <t>Fold change (FC) HbAC or HbAS relative to "Median SCR" in all HbAA</t>
  </si>
  <si>
    <t>Median SCR_HbAA CTRL FRESH</t>
  </si>
  <si>
    <t>Median of SCR in all HbAA "TEST" samples</t>
  </si>
  <si>
    <t xml:space="preserve">Median SCR_HbAA </t>
  </si>
  <si>
    <t>Fold-change of AC, AS, SC and SS "TEST" samples, relative to "Median SCR" in all HbAA "TEST" samples</t>
  </si>
  <si>
    <t>Age, months expressed in years</t>
  </si>
  <si>
    <t>Sample number</t>
  </si>
  <si>
    <t>Exp1</t>
  </si>
  <si>
    <t>Exp2</t>
  </si>
  <si>
    <t>CTRL1</t>
  </si>
  <si>
    <t>CTRL2</t>
  </si>
  <si>
    <t>CTRL3</t>
  </si>
  <si>
    <t>CTRL4</t>
  </si>
  <si>
    <t>CTRL5</t>
  </si>
  <si>
    <t>Sample/control (CTRL) sample number</t>
  </si>
  <si>
    <t>Age_group</t>
  </si>
  <si>
    <t>Codified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</si>
</sst>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2" x14ac:knownFonts="1">
    <font>
      <sz val="11"/>
      <color theme="1"/>
      <name val="Aptos Narrow"/>
      <family val="2"/>
      <scheme val="minor"/>
    </font>
    <font>
      <b/>
      <sz val="11"/>
      <color theme="1"/>
      <name val="Aptos Narrow"/>
      <family val="2"/>
      <scheme val="minor"/>
    </font>
    <font>
      <b/>
      <sz val="10"/>
      <name val="Arial"/>
      <family val="2"/>
    </font>
    <font>
      <sz val="11"/>
      <color theme="1"/>
      <name val="Symbol"/>
      <family val="1"/>
      <charset val="2"/>
    </font>
    <font>
      <sz val="7"/>
      <color theme="1"/>
      <name val="Times New Roman"/>
      <family val="1"/>
    </font>
    <font>
      <sz val="11"/>
      <color theme="1"/>
      <name val="Calibri"/>
      <family val="2"/>
    </font>
    <font>
      <b/>
      <sz val="11"/>
      <color theme="1"/>
      <name val="Calibri"/>
      <family val="2"/>
    </font>
    <font>
      <i/>
      <sz val="11"/>
      <color theme="1"/>
      <name val="Calibri"/>
      <family val="2"/>
    </font>
    <font>
      <sz val="11"/>
      <name val="Aptos Narrow"/>
      <family val="2"/>
      <scheme val="minor"/>
    </font>
    <font>
      <i/>
      <sz val="11"/>
      <color theme="1"/>
      <name val="Aptos Narrow"/>
      <family val="2"/>
      <scheme val="minor"/>
    </font>
    <font>
      <sz val="11"/>
      <color rgb="FF0070C0"/>
      <name val="Calibri"/>
      <family val="2"/>
    </font>
    <font>
      <b/>
      <sz val="11"/>
      <name val="Aptos Narrow"/>
      <family val="2"/>
      <scheme val="minor"/>
    </font>
    <font>
      <sz val="11"/>
      <color theme="1"/>
      <name val="Aptos Narrow"/>
      <family val="1"/>
    </font>
    <font>
      <b/>
      <i/>
      <sz val="11"/>
      <color theme="1"/>
      <name val="Aptos Narrow"/>
      <family val="2"/>
      <scheme val="minor"/>
    </font>
    <font>
      <b/>
      <i/>
      <sz val="11"/>
      <color rgb="FF0070C0"/>
      <name val="Aptos Narrow"/>
      <family val="2"/>
      <scheme val="minor"/>
    </font>
    <font>
      <sz val="11"/>
      <color rgb="FF0070C0"/>
      <name val="Aptos Narrow"/>
      <family val="2"/>
      <scheme val="minor"/>
    </font>
    <font>
      <i/>
      <sz val="11"/>
      <color rgb="FF0070C0"/>
      <name val="Aptos Narrow"/>
      <family val="2"/>
      <scheme val="minor"/>
    </font>
    <font>
      <b/>
      <i/>
      <sz val="11"/>
      <color rgb="FF00B050"/>
      <name val="Aptos Narrow"/>
      <family val="2"/>
      <scheme val="minor"/>
    </font>
    <font>
      <b/>
      <i/>
      <sz val="11"/>
      <name val="Aptos Narrow"/>
      <family val="2"/>
      <scheme val="minor"/>
    </font>
    <font>
      <b/>
      <i/>
      <sz val="11"/>
      <color theme="8"/>
      <name val="Aptos Narrow"/>
      <family val="2"/>
      <scheme val="minor"/>
    </font>
    <font>
      <b/>
      <i/>
      <sz val="11"/>
      <color theme="5"/>
      <name val="Aptos Narrow"/>
      <family val="2"/>
      <scheme val="minor"/>
    </font>
    <font>
      <b/>
      <i/>
      <sz val="11"/>
      <color rgb="FFF721D3"/>
      <name val="Aptos Narrow"/>
      <family val="2"/>
      <scheme val="minor"/>
    </font>
    <font>
      <sz val="10"/>
      <name val="Arial"/>
      <family val="2"/>
    </font>
    <font>
      <i/>
      <sz val="10"/>
      <color rgb="FF0070C0"/>
      <name val="Arial"/>
      <family val="2"/>
    </font>
    <font>
      <b/>
      <i/>
      <sz val="11"/>
      <color rgb="FFC00000"/>
      <name val="Aptos Narrow"/>
      <family val="2"/>
      <scheme val="minor"/>
    </font>
    <font>
      <b/>
      <sz val="11"/>
      <color rgb="FF0070C0"/>
      <name val="Aptos Narrow"/>
      <family val="2"/>
      <scheme val="minor"/>
    </font>
    <font>
      <sz val="11"/>
      <color rgb="FF00B050"/>
      <name val="Aptos Narrow"/>
      <family val="2"/>
      <scheme val="minor"/>
    </font>
    <font>
      <b/>
      <i/>
      <sz val="11"/>
      <color theme="6"/>
      <name val="Aptos Narrow"/>
      <family val="2"/>
      <scheme val="minor"/>
    </font>
    <font>
      <i/>
      <sz val="10"/>
      <name val="Arial"/>
      <family val="2"/>
    </font>
    <font>
      <sz val="11"/>
      <color rgb="FF000000"/>
      <name val="Calibri"/>
      <family val="2"/>
    </font>
    <font>
      <b/>
      <sz val="14"/>
      <color rgb="FF0070C0"/>
      <name val="Aptos Narrow"/>
      <family val="2"/>
      <scheme val="minor"/>
    </font>
    <font>
      <sz val="11"/>
      <color rgb="FFFF0000"/>
      <name val="Aptos Narrow"/>
      <family val="2"/>
      <scheme val="minor"/>
    </font>
    <font>
      <b/>
      <sz val="12"/>
      <name val="Aptos Narrow"/>
      <family val="2"/>
      <scheme val="minor"/>
    </font>
    <font>
      <sz val="12"/>
      <color rgb="FF000000"/>
      <name val="Arial"/>
      <family val="2"/>
    </font>
    <font>
      <b/>
      <sz val="16"/>
      <color rgb="FF0070C0"/>
      <name val="Aptos Narrow"/>
      <family val="2"/>
      <scheme val="minor"/>
    </font>
    <font>
      <sz val="12"/>
      <color theme="1"/>
      <name val="Arial"/>
      <family val="2"/>
    </font>
    <font>
      <b/>
      <sz val="16"/>
      <color theme="1"/>
      <name val="Arial"/>
      <family val="2"/>
    </font>
    <font>
      <b/>
      <sz val="11"/>
      <color theme="1"/>
      <name val="Arial"/>
      <family val="2"/>
    </font>
    <font>
      <b/>
      <sz val="12"/>
      <color theme="1"/>
      <name val="Arial"/>
      <family val="2"/>
    </font>
    <font>
      <b/>
      <sz val="11"/>
      <name val="Aptos Narrow"/>
      <family val="2"/>
    </font>
    <font>
      <sz val="11"/>
      <name val="Aptos Narrow"/>
      <family val="2"/>
    </font>
    <font>
      <b/>
      <sz val="16"/>
      <color rgb="FF0070C0"/>
      <name val="Arial"/>
      <family val="2"/>
    </font>
  </fonts>
  <fills count="20">
    <fill>
      <patternFill patternType="none"/>
    </fill>
    <fill>
      <patternFill patternType="gray125"/>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DD3F8"/>
        <bgColor indexed="64"/>
      </patternFill>
    </fill>
    <fill>
      <patternFill patternType="solid">
        <fgColor rgb="FFFFFFCC"/>
        <bgColor indexed="64"/>
      </patternFill>
    </fill>
    <fill>
      <patternFill patternType="solid">
        <fgColor theme="0"/>
        <bgColor indexed="64"/>
      </patternFill>
    </fill>
    <fill>
      <patternFill patternType="solid">
        <fgColor rgb="FFFFFF99"/>
        <bgColor indexed="64"/>
      </patternFill>
    </fill>
    <fill>
      <patternFill patternType="solid">
        <fgColor rgb="FFFF9999"/>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2"/>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EE0000"/>
        <bgColor indexed="64"/>
      </patternFill>
    </fill>
    <fill>
      <patternFill patternType="solid">
        <fgColor theme="3" tint="0.74999237037263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
      <left/>
      <right style="medium">
        <color rgb="FF000000"/>
      </right>
      <top/>
      <bottom style="medium">
        <color rgb="FF000000"/>
      </bottom>
      <diagonal/>
    </border>
  </borders>
  <cellStyleXfs count="1">
    <xf numFmtId="0" fontId="0" fillId="0" borderId="0"/>
  </cellStyleXfs>
  <cellXfs count="208">
    <xf numFmtId="0" fontId="0" fillId="0" borderId="0" xfId="0"/>
    <xf numFmtId="0" fontId="0" fillId="0" borderId="0" xfId="0" applyAlignment="1">
      <alignment horizontal="center"/>
    </xf>
    <xf numFmtId="49" fontId="2" fillId="2" borderId="1" xfId="0" applyNumberFormat="1" applyFont="1" applyFill="1" applyBorder="1" applyAlignment="1">
      <alignment vertical="center"/>
    </xf>
    <xf numFmtId="49" fontId="2" fillId="2" borderId="1" xfId="0" applyNumberFormat="1" applyFont="1" applyFill="1" applyBorder="1"/>
    <xf numFmtId="0" fontId="1" fillId="0" borderId="0" xfId="0" applyFont="1" applyAlignment="1">
      <alignment vertical="center"/>
    </xf>
    <xf numFmtId="0" fontId="3" fillId="0" borderId="0" xfId="0" applyFont="1" applyAlignment="1">
      <alignment vertical="center"/>
    </xf>
    <xf numFmtId="0" fontId="5" fillId="0" borderId="0" xfId="0" applyFont="1"/>
    <xf numFmtId="0" fontId="6" fillId="0" borderId="0" xfId="0" applyFont="1"/>
    <xf numFmtId="0" fontId="1"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xf>
    <xf numFmtId="164" fontId="0" fillId="0" borderId="0" xfId="0" applyNumberFormat="1" applyAlignment="1">
      <alignment horizontal="center" vertical="center"/>
    </xf>
    <xf numFmtId="0" fontId="8" fillId="0" borderId="0" xfId="0" applyFont="1" applyAlignment="1">
      <alignment horizontal="center" vertical="center"/>
    </xf>
    <xf numFmtId="0" fontId="8" fillId="0" borderId="0" xfId="0" applyFont="1"/>
    <xf numFmtId="2" fontId="8" fillId="0" borderId="0" xfId="0" applyNumberFormat="1" applyFont="1" applyAlignment="1">
      <alignment horizontal="center" vertical="center"/>
    </xf>
    <xf numFmtId="1" fontId="8" fillId="0" borderId="0" xfId="0" applyNumberFormat="1" applyFont="1" applyAlignment="1">
      <alignment horizontal="center" vertical="center"/>
    </xf>
    <xf numFmtId="165" fontId="8" fillId="0" borderId="0" xfId="0" applyNumberFormat="1" applyFont="1" applyAlignment="1">
      <alignment horizontal="center" vertical="center"/>
    </xf>
    <xf numFmtId="0" fontId="8" fillId="0" borderId="0" xfId="0" applyFont="1" applyAlignment="1">
      <alignment horizontal="center"/>
    </xf>
    <xf numFmtId="0" fontId="8" fillId="3" borderId="0" xfId="0" applyFont="1" applyFill="1" applyAlignment="1">
      <alignment horizontal="center" vertical="center"/>
    </xf>
    <xf numFmtId="2" fontId="8" fillId="3" borderId="0" xfId="0" applyNumberFormat="1" applyFont="1" applyFill="1" applyAlignment="1">
      <alignment horizontal="center" vertical="center"/>
    </xf>
    <xf numFmtId="1" fontId="8" fillId="3" borderId="0" xfId="0" applyNumberFormat="1" applyFont="1" applyFill="1" applyAlignment="1">
      <alignment horizontal="center" vertical="center"/>
    </xf>
    <xf numFmtId="0" fontId="8" fillId="3" borderId="0" xfId="0" applyFont="1" applyFill="1"/>
    <xf numFmtId="0" fontId="1" fillId="2" borderId="0" xfId="0" applyFont="1" applyFill="1" applyAlignment="1">
      <alignment vertical="center"/>
    </xf>
    <xf numFmtId="0" fontId="0" fillId="0" borderId="0" xfId="0" applyAlignment="1">
      <alignment horizontal="left" vertical="center"/>
    </xf>
    <xf numFmtId="0" fontId="1" fillId="0" borderId="0" xfId="0" applyFont="1" applyAlignment="1">
      <alignment horizontal="left" vertical="center"/>
    </xf>
    <xf numFmtId="0" fontId="5" fillId="0" borderId="0" xfId="0" applyFont="1" applyAlignment="1">
      <alignment horizontal="left" vertical="center" wrapText="1"/>
    </xf>
    <xf numFmtId="0" fontId="0" fillId="0" borderId="0" xfId="0" applyAlignment="1">
      <alignment horizontal="left"/>
    </xf>
    <xf numFmtId="0" fontId="5" fillId="0" borderId="0" xfId="0" applyFont="1" applyAlignment="1">
      <alignment vertical="center"/>
    </xf>
    <xf numFmtId="0" fontId="6" fillId="0" borderId="0" xfId="0" applyFont="1" applyAlignment="1">
      <alignment horizontal="left" vertical="center"/>
    </xf>
    <xf numFmtId="0" fontId="5" fillId="0" borderId="0" xfId="0" applyFont="1" applyAlignment="1">
      <alignment horizontal="left" vertical="center"/>
    </xf>
    <xf numFmtId="0" fontId="3" fillId="0" borderId="0" xfId="0" applyFont="1"/>
    <xf numFmtId="0" fontId="6" fillId="0" borderId="0" xfId="0" applyFont="1" applyAlignment="1">
      <alignment vertical="center"/>
    </xf>
    <xf numFmtId="2" fontId="8" fillId="0" borderId="0" xfId="0" applyNumberFormat="1" applyFont="1" applyAlignment="1">
      <alignment horizontal="center"/>
    </xf>
    <xf numFmtId="2" fontId="0" fillId="0" borderId="0" xfId="0" applyNumberFormat="1" applyAlignment="1">
      <alignment horizontal="center"/>
    </xf>
    <xf numFmtId="0" fontId="11" fillId="0" borderId="0" xfId="0" applyFont="1" applyAlignment="1">
      <alignment horizontal="center" vertical="center"/>
    </xf>
    <xf numFmtId="0" fontId="11" fillId="4" borderId="0" xfId="0" applyFont="1" applyFill="1" applyAlignment="1">
      <alignment horizontal="center" vertical="center"/>
    </xf>
    <xf numFmtId="0" fontId="11" fillId="5" borderId="0" xfId="0" applyFont="1" applyFill="1" applyAlignment="1">
      <alignment horizontal="center" vertical="center"/>
    </xf>
    <xf numFmtId="0" fontId="11" fillId="0" borderId="0" xfId="0" applyFont="1"/>
    <xf numFmtId="0" fontId="12" fillId="0" borderId="0" xfId="0" applyFont="1"/>
    <xf numFmtId="0" fontId="5" fillId="0" borderId="0" xfId="0" applyFont="1" applyAlignment="1">
      <alignment wrapText="1"/>
    </xf>
    <xf numFmtId="0" fontId="5"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horizontal="left" vertical="center" wrapText="1"/>
    </xf>
    <xf numFmtId="0" fontId="0" fillId="2" borderId="0" xfId="0" applyFill="1" applyAlignment="1">
      <alignment horizontal="center" vertical="center"/>
    </xf>
    <xf numFmtId="0" fontId="0" fillId="4" borderId="0" xfId="0" applyFill="1" applyAlignment="1">
      <alignment horizontal="center" vertical="center"/>
    </xf>
    <xf numFmtId="0" fontId="1" fillId="4" borderId="0" xfId="0" applyFont="1" applyFill="1" applyAlignment="1">
      <alignment horizontal="center" vertical="center"/>
    </xf>
    <xf numFmtId="0" fontId="1" fillId="2" borderId="0" xfId="0" applyFont="1" applyFill="1" applyAlignment="1">
      <alignment horizontal="center" vertical="center"/>
    </xf>
    <xf numFmtId="0" fontId="0" fillId="5" borderId="0" xfId="0"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0" fillId="7" borderId="0" xfId="0" applyFill="1" applyAlignment="1">
      <alignment horizontal="center" vertical="center"/>
    </xf>
    <xf numFmtId="164" fontId="0" fillId="7" borderId="0" xfId="0" applyNumberFormat="1" applyFill="1" applyAlignment="1">
      <alignment horizontal="center" vertical="center"/>
    </xf>
    <xf numFmtId="0" fontId="1" fillId="7" borderId="0" xfId="0" applyFont="1" applyFill="1" applyAlignment="1">
      <alignment horizontal="center" vertical="center"/>
    </xf>
    <xf numFmtId="164" fontId="1" fillId="7" borderId="0" xfId="0" applyNumberFormat="1" applyFont="1" applyFill="1" applyAlignment="1">
      <alignment horizontal="center" vertical="center"/>
    </xf>
    <xf numFmtId="0" fontId="17" fillId="4" borderId="0" xfId="0" applyFont="1" applyFill="1" applyAlignment="1">
      <alignment horizontal="center" vertical="center"/>
    </xf>
    <xf numFmtId="0" fontId="19" fillId="6" borderId="0" xfId="0" applyFont="1" applyFill="1" applyAlignment="1">
      <alignment horizontal="center" vertical="center"/>
    </xf>
    <xf numFmtId="0" fontId="20" fillId="5" borderId="0" xfId="0" applyFont="1" applyFill="1" applyAlignment="1">
      <alignment horizontal="left" vertical="center"/>
    </xf>
    <xf numFmtId="0" fontId="21" fillId="7" borderId="0" xfId="0" applyFont="1" applyFill="1" applyAlignment="1">
      <alignment horizontal="left" vertical="center"/>
    </xf>
    <xf numFmtId="0" fontId="11" fillId="0" borderId="0" xfId="0" applyFont="1" applyAlignment="1">
      <alignment horizontal="left" vertical="center"/>
    </xf>
    <xf numFmtId="49" fontId="22" fillId="0" borderId="0" xfId="0" applyNumberFormat="1" applyFont="1"/>
    <xf numFmtId="0" fontId="0" fillId="6" borderId="0" xfId="0" applyFill="1" applyAlignment="1">
      <alignment horizontal="center" vertical="center"/>
    </xf>
    <xf numFmtId="0" fontId="11" fillId="6" borderId="0" xfId="0" applyFont="1" applyFill="1" applyAlignment="1">
      <alignment horizontal="center" vertical="center"/>
    </xf>
    <xf numFmtId="0" fontId="19" fillId="6" borderId="0" xfId="0" applyFont="1" applyFill="1" applyAlignment="1">
      <alignment horizontal="left" vertical="center"/>
    </xf>
    <xf numFmtId="0" fontId="16" fillId="2" borderId="0" xfId="0" applyFont="1" applyFill="1" applyAlignment="1">
      <alignment horizontal="center" vertical="center"/>
    </xf>
    <xf numFmtId="0" fontId="0" fillId="8" borderId="0" xfId="0" applyFill="1" applyAlignment="1">
      <alignment horizontal="center" vertical="center"/>
    </xf>
    <xf numFmtId="0" fontId="1" fillId="8" borderId="0" xfId="0" applyFont="1" applyFill="1" applyAlignment="1">
      <alignment horizontal="center" vertical="center"/>
    </xf>
    <xf numFmtId="49" fontId="2" fillId="2" borderId="2" xfId="0" applyNumberFormat="1" applyFont="1" applyFill="1" applyBorder="1"/>
    <xf numFmtId="49" fontId="23" fillId="0" borderId="0" xfId="0" applyNumberFormat="1" applyFont="1"/>
    <xf numFmtId="0" fontId="13" fillId="0" borderId="0" xfId="0" applyFont="1" applyAlignment="1">
      <alignment horizontal="left" vertical="center"/>
    </xf>
    <xf numFmtId="0" fontId="18" fillId="8" borderId="0" xfId="0" applyFont="1" applyFill="1" applyAlignment="1">
      <alignment horizontal="left" vertical="center"/>
    </xf>
    <xf numFmtId="0" fontId="25" fillId="6" borderId="0" xfId="0" applyFont="1" applyFill="1" applyAlignment="1">
      <alignment horizontal="center" vertical="center"/>
    </xf>
    <xf numFmtId="0" fontId="0" fillId="0" borderId="0" xfId="0" applyAlignment="1">
      <alignment horizontal="right"/>
    </xf>
    <xf numFmtId="0" fontId="1" fillId="0" borderId="0" xfId="0" applyFont="1"/>
    <xf numFmtId="0" fontId="11" fillId="0" borderId="0" xfId="0" applyFont="1" applyAlignment="1">
      <alignment horizontal="right"/>
    </xf>
    <xf numFmtId="1" fontId="0" fillId="0" borderId="0" xfId="0" applyNumberFormat="1" applyAlignment="1">
      <alignment horizontal="center"/>
    </xf>
    <xf numFmtId="0" fontId="1" fillId="0" borderId="3" xfId="0" applyFont="1" applyBorder="1" applyAlignment="1">
      <alignment horizontal="right"/>
    </xf>
    <xf numFmtId="1" fontId="0" fillId="0" borderId="3" xfId="0" applyNumberFormat="1" applyBorder="1" applyAlignment="1">
      <alignment horizontal="center"/>
    </xf>
    <xf numFmtId="0" fontId="0" fillId="0" borderId="3" xfId="0" applyBorder="1" applyAlignment="1">
      <alignment horizontal="center"/>
    </xf>
    <xf numFmtId="0" fontId="11" fillId="0" borderId="3" xfId="0" applyFont="1" applyBorder="1" applyAlignment="1">
      <alignment horizontal="right"/>
    </xf>
    <xf numFmtId="0" fontId="0" fillId="9" borderId="0" xfId="0" applyFill="1" applyAlignment="1">
      <alignment horizontal="center"/>
    </xf>
    <xf numFmtId="0" fontId="0" fillId="4" borderId="0" xfId="0" applyFill="1" applyAlignment="1">
      <alignment horizontal="center"/>
    </xf>
    <xf numFmtId="0" fontId="11" fillId="4" borderId="0" xfId="0" applyFont="1" applyFill="1" applyAlignment="1">
      <alignment horizontal="center"/>
    </xf>
    <xf numFmtId="0" fontId="8" fillId="3" borderId="0" xfId="0" applyFont="1" applyFill="1" applyAlignment="1">
      <alignment horizontal="center"/>
    </xf>
    <xf numFmtId="1" fontId="8" fillId="3" borderId="0" xfId="0" applyNumberFormat="1" applyFont="1" applyFill="1" applyAlignment="1">
      <alignment horizontal="center"/>
    </xf>
    <xf numFmtId="1" fontId="8" fillId="0" borderId="0" xfId="0" applyNumberFormat="1" applyFont="1" applyAlignment="1">
      <alignment horizontal="center"/>
    </xf>
    <xf numFmtId="0" fontId="14" fillId="0" borderId="0" xfId="0" applyFont="1" applyAlignment="1">
      <alignment horizontal="center"/>
    </xf>
    <xf numFmtId="0" fontId="26" fillId="4" borderId="0" xfId="0" applyFont="1" applyFill="1" applyAlignment="1">
      <alignment horizontal="center"/>
    </xf>
    <xf numFmtId="0" fontId="11" fillId="0" borderId="0" xfId="0" applyFont="1" applyAlignment="1">
      <alignment horizontal="left"/>
    </xf>
    <xf numFmtId="0" fontId="14" fillId="2" borderId="0" xfId="0" applyFont="1" applyFill="1" applyAlignment="1">
      <alignment horizontal="left" vertical="center"/>
    </xf>
    <xf numFmtId="0" fontId="17" fillId="4" borderId="0" xfId="0" applyFont="1" applyFill="1" applyAlignment="1">
      <alignment horizontal="left" vertical="center"/>
    </xf>
    <xf numFmtId="0" fontId="27" fillId="4" borderId="0" xfId="0" applyFont="1" applyFill="1"/>
    <xf numFmtId="0" fontId="27" fillId="4" borderId="0" xfId="0" applyFont="1" applyFill="1" applyAlignment="1">
      <alignment horizontal="center" vertical="center"/>
    </xf>
    <xf numFmtId="0" fontId="11" fillId="6" borderId="0" xfId="0" applyFont="1" applyFill="1" applyAlignment="1">
      <alignment horizontal="left" vertical="center"/>
    </xf>
    <xf numFmtId="0" fontId="25" fillId="6" borderId="0" xfId="0" applyFont="1" applyFill="1" applyAlignment="1">
      <alignment vertical="center"/>
    </xf>
    <xf numFmtId="0" fontId="25" fillId="6" borderId="0" xfId="0" applyFont="1" applyFill="1" applyAlignment="1">
      <alignment horizontal="left" vertical="center"/>
    </xf>
    <xf numFmtId="0" fontId="8" fillId="0" borderId="0" xfId="0" applyFont="1" applyAlignment="1">
      <alignment horizontal="left" vertical="center"/>
    </xf>
    <xf numFmtId="49" fontId="2" fillId="2" borderId="1" xfId="0" applyNumberFormat="1" applyFont="1" applyFill="1" applyBorder="1" applyAlignment="1">
      <alignment horizontal="left" vertical="center"/>
    </xf>
    <xf numFmtId="0" fontId="6" fillId="0" borderId="0" xfId="0" applyFont="1" applyAlignment="1">
      <alignment horizontal="left"/>
    </xf>
    <xf numFmtId="0" fontId="16" fillId="6" borderId="0" xfId="0" applyFont="1" applyFill="1" applyAlignment="1">
      <alignment horizontal="left" vertical="center" wrapText="1"/>
    </xf>
    <xf numFmtId="0" fontId="8" fillId="0" borderId="0" xfId="0" applyFont="1" applyAlignment="1">
      <alignment horizontal="left" vertical="center" wrapText="1"/>
    </xf>
    <xf numFmtId="0" fontId="0" fillId="6" borderId="0" xfId="0" applyFill="1"/>
    <xf numFmtId="14" fontId="0" fillId="0" borderId="0" xfId="0" applyNumberFormat="1" applyAlignment="1">
      <alignment horizontal="center" vertical="center"/>
    </xf>
    <xf numFmtId="165" fontId="0" fillId="0" borderId="0" xfId="0" applyNumberFormat="1" applyAlignment="1">
      <alignment horizontal="center" vertical="center"/>
    </xf>
    <xf numFmtId="1"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applyAlignment="1">
      <alignment horizontal="center" vertical="center" wrapText="1"/>
    </xf>
    <xf numFmtId="0" fontId="29" fillId="0" borderId="0" xfId="0" applyFont="1" applyAlignment="1">
      <alignment horizontal="center" vertical="center"/>
    </xf>
    <xf numFmtId="0" fontId="30" fillId="2" borderId="0" xfId="0" applyFont="1" applyFill="1"/>
    <xf numFmtId="0" fontId="1" fillId="6" borderId="0" xfId="0" applyFont="1" applyFill="1"/>
    <xf numFmtId="0" fontId="1" fillId="10" borderId="0" xfId="0" applyFont="1" applyFill="1"/>
    <xf numFmtId="0" fontId="1" fillId="4" borderId="0" xfId="0" applyFont="1" applyFill="1"/>
    <xf numFmtId="0" fontId="1" fillId="11" borderId="0" xfId="0" applyFont="1" applyFill="1"/>
    <xf numFmtId="0" fontId="0" fillId="12" borderId="0" xfId="0" applyFill="1" applyAlignment="1">
      <alignment horizontal="right"/>
    </xf>
    <xf numFmtId="0" fontId="0" fillId="12" borderId="0" xfId="0" applyFill="1"/>
    <xf numFmtId="0" fontId="1" fillId="0" borderId="0" xfId="0" applyFont="1" applyAlignment="1">
      <alignment horizontal="right"/>
    </xf>
    <xf numFmtId="0" fontId="0" fillId="10" borderId="0" xfId="0" applyFill="1"/>
    <xf numFmtId="0" fontId="0" fillId="4" borderId="0" xfId="0" applyFill="1"/>
    <xf numFmtId="0" fontId="0" fillId="11" borderId="0" xfId="0" applyFill="1"/>
    <xf numFmtId="0" fontId="0" fillId="4" borderId="0" xfId="0" quotePrefix="1" applyFill="1"/>
    <xf numFmtId="0" fontId="15" fillId="2" borderId="0" xfId="0" applyFont="1" applyFill="1"/>
    <xf numFmtId="0" fontId="1" fillId="5" borderId="0" xfId="0" applyFont="1" applyFill="1"/>
    <xf numFmtId="1" fontId="0" fillId="2" borderId="0" xfId="0" applyNumberFormat="1" applyFill="1"/>
    <xf numFmtId="0" fontId="0" fillId="2" borderId="0" xfId="0" applyFill="1"/>
    <xf numFmtId="1" fontId="0" fillId="5" borderId="0" xfId="0" applyNumberFormat="1" applyFill="1"/>
    <xf numFmtId="1" fontId="0" fillId="0" borderId="0" xfId="0" applyNumberFormat="1"/>
    <xf numFmtId="0" fontId="0" fillId="5" borderId="0" xfId="0" applyFill="1"/>
    <xf numFmtId="0" fontId="0" fillId="0" borderId="0" xfId="0" quotePrefix="1"/>
    <xf numFmtId="0" fontId="0" fillId="0" borderId="0" xfId="0" applyAlignment="1">
      <alignment wrapText="1"/>
    </xf>
    <xf numFmtId="0" fontId="0" fillId="0" borderId="0" xfId="0" applyAlignment="1">
      <alignment vertical="center" wrapText="1"/>
    </xf>
    <xf numFmtId="14" fontId="8" fillId="3" borderId="0" xfId="0" applyNumberFormat="1" applyFont="1" applyFill="1" applyAlignment="1">
      <alignment horizontal="center" vertical="center"/>
    </xf>
    <xf numFmtId="14" fontId="8" fillId="0" borderId="0" xfId="0" applyNumberFormat="1" applyFont="1" applyAlignment="1">
      <alignment horizontal="center" vertical="center"/>
    </xf>
    <xf numFmtId="0" fontId="0" fillId="5" borderId="0" xfId="0" applyFill="1" applyAlignment="1">
      <alignment horizontal="center"/>
    </xf>
    <xf numFmtId="0" fontId="11" fillId="5" borderId="0" xfId="0" applyFont="1" applyFill="1" applyAlignment="1">
      <alignment horizontal="center"/>
    </xf>
    <xf numFmtId="0" fontId="20" fillId="5" borderId="0" xfId="0" applyFont="1" applyFill="1" applyAlignment="1">
      <alignment horizontal="center" vertical="center"/>
    </xf>
    <xf numFmtId="0" fontId="1" fillId="0" borderId="0" xfId="0" quotePrefix="1" applyFont="1"/>
    <xf numFmtId="0" fontId="32" fillId="13" borderId="0" xfId="0" applyFont="1" applyFill="1" applyAlignment="1">
      <alignment vertical="center"/>
    </xf>
    <xf numFmtId="0" fontId="32" fillId="13" borderId="0" xfId="0" applyFont="1" applyFill="1" applyAlignment="1">
      <alignment vertical="center" wrapText="1"/>
    </xf>
    <xf numFmtId="0" fontId="11" fillId="3" borderId="0" xfId="0" applyFont="1" applyFill="1" applyAlignment="1">
      <alignment horizontal="center" vertical="center"/>
    </xf>
    <xf numFmtId="0" fontId="11" fillId="6" borderId="0" xfId="0" applyFont="1" applyFill="1" applyAlignment="1">
      <alignment horizontal="center" vertical="center" wrapText="1"/>
    </xf>
    <xf numFmtId="0" fontId="11" fillId="14" borderId="0" xfId="0" applyFont="1" applyFill="1" applyAlignment="1">
      <alignment vertical="center" wrapText="1"/>
    </xf>
    <xf numFmtId="0" fontId="25" fillId="0" borderId="0" xfId="0" applyFont="1" applyAlignment="1">
      <alignment horizontal="center" vertical="center" wrapText="1"/>
    </xf>
    <xf numFmtId="0" fontId="8" fillId="2" borderId="0" xfId="0" applyFont="1" applyFill="1" applyAlignment="1">
      <alignment horizontal="center" vertical="center"/>
    </xf>
    <xf numFmtId="1" fontId="33" fillId="15" borderId="5" xfId="0" applyNumberFormat="1" applyFont="1" applyFill="1" applyBorder="1" applyAlignment="1">
      <alignment horizontal="center" vertical="center"/>
    </xf>
    <xf numFmtId="2" fontId="33" fillId="15" borderId="5" xfId="0" applyNumberFormat="1" applyFont="1" applyFill="1" applyBorder="1" applyAlignment="1">
      <alignment horizontal="center" vertical="center"/>
    </xf>
    <xf numFmtId="2" fontId="33" fillId="16" borderId="5" xfId="0" applyNumberFormat="1" applyFont="1" applyFill="1" applyBorder="1" applyAlignment="1">
      <alignment horizontal="center" vertical="center"/>
    </xf>
    <xf numFmtId="2" fontId="33" fillId="17" borderId="5" xfId="0" applyNumberFormat="1" applyFont="1" applyFill="1" applyBorder="1" applyAlignment="1">
      <alignment horizontal="center" vertical="center"/>
    </xf>
    <xf numFmtId="1" fontId="33" fillId="17" borderId="5" xfId="0" applyNumberFormat="1" applyFont="1" applyFill="1" applyBorder="1" applyAlignment="1">
      <alignment horizontal="center" vertical="center"/>
    </xf>
    <xf numFmtId="0" fontId="34" fillId="2" borderId="0" xfId="0" applyFont="1" applyFill="1"/>
    <xf numFmtId="0" fontId="1" fillId="2" borderId="0" xfId="0" applyFont="1" applyFill="1"/>
    <xf numFmtId="0" fontId="26" fillId="0" borderId="0" xfId="0" applyFont="1"/>
    <xf numFmtId="0" fontId="8" fillId="4" borderId="0" xfId="0" applyFont="1" applyFill="1" applyAlignment="1">
      <alignment horizontal="center" vertical="center"/>
    </xf>
    <xf numFmtId="0" fontId="25" fillId="0" borderId="0" xfId="0" applyFont="1"/>
    <xf numFmtId="2" fontId="1" fillId="0" borderId="0" xfId="0" applyNumberFormat="1" applyFont="1"/>
    <xf numFmtId="0" fontId="0" fillId="17" borderId="0" xfId="0" applyFill="1"/>
    <xf numFmtId="0" fontId="0" fillId="16" borderId="0" xfId="0" applyFill="1" applyAlignment="1">
      <alignment horizontal="center"/>
    </xf>
    <xf numFmtId="0" fontId="0" fillId="15" borderId="0" xfId="0" applyFill="1" applyAlignment="1">
      <alignment horizontal="center"/>
    </xf>
    <xf numFmtId="0" fontId="0" fillId="17" borderId="0" xfId="0" applyFill="1" applyAlignment="1">
      <alignment horizontal="center"/>
    </xf>
    <xf numFmtId="0" fontId="8" fillId="6" borderId="0" xfId="0" applyFont="1" applyFill="1" applyAlignment="1">
      <alignment horizontal="center" vertical="center"/>
    </xf>
    <xf numFmtId="2" fontId="0" fillId="0" borderId="0" xfId="0" applyNumberFormat="1"/>
    <xf numFmtId="165" fontId="0" fillId="0" borderId="0" xfId="0" quotePrefix="1" applyNumberFormat="1" applyAlignment="1">
      <alignment horizontal="center"/>
    </xf>
    <xf numFmtId="2" fontId="0" fillId="0" borderId="0" xfId="0" quotePrefix="1" applyNumberFormat="1" applyAlignment="1">
      <alignment horizontal="center"/>
    </xf>
    <xf numFmtId="0" fontId="31" fillId="11" borderId="0" xfId="0" applyFont="1" applyFill="1" applyAlignment="1">
      <alignment horizontal="center" vertical="center"/>
    </xf>
    <xf numFmtId="0" fontId="31" fillId="0" borderId="0" xfId="0" applyFont="1" applyAlignment="1">
      <alignment horizontal="center" vertical="center"/>
    </xf>
    <xf numFmtId="0" fontId="35" fillId="0" borderId="5" xfId="0" applyFont="1" applyBorder="1" applyAlignment="1">
      <alignment horizontal="center" vertical="center" wrapText="1"/>
    </xf>
    <xf numFmtId="0" fontId="8" fillId="11" borderId="0" xfId="0" applyFont="1" applyFill="1" applyAlignment="1">
      <alignment horizontal="center" vertical="center"/>
    </xf>
    <xf numFmtId="0" fontId="8" fillId="5" borderId="0" xfId="0" applyFont="1" applyFill="1" applyAlignment="1">
      <alignment horizontal="center" vertical="center"/>
    </xf>
    <xf numFmtId="1" fontId="33" fillId="18" borderId="5" xfId="0" applyNumberFormat="1" applyFont="1" applyFill="1" applyBorder="1" applyAlignment="1">
      <alignment horizontal="center" vertical="center"/>
    </xf>
    <xf numFmtId="2" fontId="33" fillId="18" borderId="5" xfId="0" applyNumberFormat="1" applyFont="1" applyFill="1" applyBorder="1" applyAlignment="1">
      <alignment horizontal="center" vertical="center"/>
    </xf>
    <xf numFmtId="2" fontId="33" fillId="17" borderId="5" xfId="0" applyNumberFormat="1" applyFont="1" applyFill="1" applyBorder="1" applyAlignment="1">
      <alignment horizontal="center" vertical="center" wrapText="1"/>
    </xf>
    <xf numFmtId="2" fontId="33" fillId="16" borderId="5" xfId="0" applyNumberFormat="1" applyFont="1" applyFill="1" applyBorder="1" applyAlignment="1">
      <alignment horizontal="center" vertical="center" wrapText="1"/>
    </xf>
    <xf numFmtId="0" fontId="36" fillId="0" borderId="0" xfId="0" applyFont="1" applyAlignment="1">
      <alignment horizontal="center"/>
    </xf>
    <xf numFmtId="0" fontId="37" fillId="0" borderId="0" xfId="0" applyFont="1" applyAlignment="1">
      <alignment horizontal="left" vertical="center"/>
    </xf>
    <xf numFmtId="0" fontId="38" fillId="0" borderId="0" xfId="0" applyFont="1" applyAlignment="1">
      <alignment horizontal="center"/>
    </xf>
    <xf numFmtId="0" fontId="11" fillId="19" borderId="0" xfId="0" applyFont="1" applyFill="1" applyAlignment="1">
      <alignment horizontal="center" vertical="center"/>
    </xf>
    <xf numFmtId="0" fontId="11" fillId="0" borderId="0" xfId="0" applyFont="1" applyAlignment="1">
      <alignment horizontal="center" vertical="center" wrapText="1"/>
    </xf>
    <xf numFmtId="0" fontId="11" fillId="19" borderId="0" xfId="0" applyFont="1" applyFill="1" applyAlignment="1">
      <alignment horizontal="center" vertical="center" wrapText="1"/>
    </xf>
    <xf numFmtId="0" fontId="39" fillId="19" borderId="0" xfId="0" applyFont="1" applyFill="1" applyAlignment="1">
      <alignment horizontal="left"/>
    </xf>
    <xf numFmtId="0" fontId="40" fillId="2" borderId="0" xfId="0" applyFont="1" applyFill="1" applyAlignment="1">
      <alignment horizontal="center" vertical="center"/>
    </xf>
    <xf numFmtId="1" fontId="8" fillId="2" borderId="0" xfId="0" applyNumberFormat="1" applyFont="1" applyFill="1" applyAlignment="1">
      <alignment horizontal="center" vertical="center"/>
    </xf>
    <xf numFmtId="0" fontId="11" fillId="19" borderId="0" xfId="0" applyFont="1" applyFill="1"/>
    <xf numFmtId="0" fontId="8" fillId="2" borderId="0" xfId="0" applyFont="1" applyFill="1" applyAlignment="1">
      <alignment horizontal="center"/>
    </xf>
    <xf numFmtId="1" fontId="8" fillId="2" borderId="0" xfId="0" applyNumberFormat="1" applyFont="1" applyFill="1" applyAlignment="1">
      <alignment horizontal="center"/>
    </xf>
    <xf numFmtId="165" fontId="33" fillId="15" borderId="5" xfId="0" applyNumberFormat="1" applyFont="1" applyFill="1" applyBorder="1" applyAlignment="1">
      <alignment horizontal="center" vertical="center"/>
    </xf>
    <xf numFmtId="165" fontId="33" fillId="16" borderId="5" xfId="0" applyNumberFormat="1" applyFont="1" applyFill="1" applyBorder="1" applyAlignment="1">
      <alignment horizontal="center" vertical="center"/>
    </xf>
    <xf numFmtId="165" fontId="33" fillId="17" borderId="5" xfId="0" applyNumberFormat="1" applyFont="1" applyFill="1" applyBorder="1" applyAlignment="1">
      <alignment horizontal="center" vertical="center"/>
    </xf>
    <xf numFmtId="165" fontId="33" fillId="15" borderId="5" xfId="0" applyNumberFormat="1" applyFont="1" applyFill="1" applyBorder="1" applyAlignment="1">
      <alignment horizontal="center" vertical="center" wrapText="1"/>
    </xf>
    <xf numFmtId="165" fontId="33" fillId="16" borderId="5" xfId="0" applyNumberFormat="1" applyFont="1" applyFill="1" applyBorder="1" applyAlignment="1">
      <alignment horizontal="center" vertical="center" wrapText="1"/>
    </xf>
    <xf numFmtId="1" fontId="33" fillId="15" borderId="5" xfId="0" applyNumberFormat="1" applyFont="1" applyFill="1" applyBorder="1" applyAlignment="1">
      <alignment horizontal="center" vertical="center" wrapText="1"/>
    </xf>
    <xf numFmtId="0" fontId="41" fillId="0" borderId="0" xfId="0" applyFont="1"/>
    <xf numFmtId="0" fontId="14" fillId="6" borderId="0" xfId="0" applyFont="1" applyFill="1" applyAlignment="1">
      <alignment vertical="center"/>
    </xf>
    <xf numFmtId="0" fontId="0" fillId="2" borderId="0" xfId="0" applyFill="1" applyAlignment="1">
      <alignment horizontal="center"/>
    </xf>
    <xf numFmtId="0" fontId="11" fillId="2" borderId="0" xfId="0" applyFont="1" applyFill="1" applyAlignment="1">
      <alignment horizontal="center"/>
    </xf>
    <xf numFmtId="0" fontId="16" fillId="6" borderId="0" xfId="0" applyFont="1" applyFill="1" applyAlignment="1">
      <alignment horizontal="center" vertical="center" wrapText="1"/>
    </xf>
    <xf numFmtId="0" fontId="14" fillId="6" borderId="0" xfId="0" applyFont="1" applyFill="1" applyAlignment="1">
      <alignment horizontal="center" vertical="center"/>
    </xf>
    <xf numFmtId="0" fontId="14" fillId="6" borderId="0" xfId="0" quotePrefix="1" applyFont="1" applyFill="1" applyAlignment="1">
      <alignment horizontal="center" vertical="center"/>
    </xf>
    <xf numFmtId="0" fontId="25" fillId="6" borderId="0" xfId="0" applyFont="1" applyFill="1" applyAlignment="1">
      <alignment horizontal="center" vertical="center"/>
    </xf>
    <xf numFmtId="0" fontId="0" fillId="0" borderId="0" xfId="0" applyAlignment="1">
      <alignment horizontal="center"/>
    </xf>
    <xf numFmtId="0" fontId="27" fillId="4" borderId="0" xfId="0" applyFont="1" applyFill="1" applyAlignment="1">
      <alignment horizontal="left"/>
    </xf>
    <xf numFmtId="0" fontId="0" fillId="6" borderId="0" xfId="0" applyFill="1" applyAlignment="1">
      <alignment horizontal="center"/>
    </xf>
    <xf numFmtId="0" fontId="0" fillId="10" borderId="0" xfId="0" applyFill="1" applyAlignment="1">
      <alignment horizontal="center"/>
    </xf>
    <xf numFmtId="0" fontId="0" fillId="11" borderId="0" xfId="0" applyFill="1" applyAlignment="1">
      <alignment horizontal="center"/>
    </xf>
    <xf numFmtId="0" fontId="0" fillId="4" borderId="0" xfId="0" applyFill="1" applyAlignment="1">
      <alignment horizontal="center"/>
    </xf>
    <xf numFmtId="0" fontId="11" fillId="6" borderId="0" xfId="0" applyFont="1" applyFill="1" applyAlignment="1">
      <alignment horizontal="center"/>
    </xf>
    <xf numFmtId="0" fontId="1" fillId="10" borderId="0" xfId="0" applyFont="1" applyFill="1" applyAlignment="1">
      <alignment horizontal="center"/>
    </xf>
    <xf numFmtId="0" fontId="1" fillId="11" borderId="0" xfId="0" applyFont="1" applyFill="1" applyAlignment="1">
      <alignment horizontal="center"/>
    </xf>
    <xf numFmtId="0" fontId="0" fillId="0" borderId="0" xfId="0" applyAlignment="1">
      <alignment horizontal="center" vertical="top" wrapText="1"/>
    </xf>
    <xf numFmtId="0" fontId="0" fillId="0" borderId="4" xfId="0" applyBorder="1" applyAlignment="1">
      <alignment horizontal="center" vertical="top" wrapText="1"/>
    </xf>
    <xf numFmtId="0" fontId="9" fillId="0" borderId="0" xfId="0" applyFont="1"/>
  </cellXfs>
  <cellStyles count="1">
    <cellStyle name="Normal" xfId="0" builtinId="0"/>
  </cellStyles>
  <dxfs count="0"/>
  <tableStyles count="0" defaultTableStyle="TableStyleMedium2" defaultPivotStyle="PivotStyleLight16"/>
  <colors>
    <mruColors>
      <color rgb="FFFDD3F8"/>
      <color rgb="FFFFFFCC"/>
      <color rgb="FFF721D3"/>
      <color rgb="FFF97F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12</xdr:col>
      <xdr:colOff>18056</xdr:colOff>
      <xdr:row>0</xdr:row>
      <xdr:rowOff>150148</xdr:rowOff>
    </xdr:from>
    <xdr:ext cx="4970627" cy="2159053"/>
    <xdr:sp macro="" textlink="">
      <xdr:nvSpPr>
        <xdr:cNvPr id="2" name="TextBox 1">
          <a:extLst>
            <a:ext uri="{FF2B5EF4-FFF2-40B4-BE49-F238E27FC236}">
              <a16:creationId xmlns:a16="http://schemas.microsoft.com/office/drawing/2014/main" id="{ECBCAA0C-912B-49C5-98F7-25B05375A54C}"/>
            </a:ext>
          </a:extLst>
        </xdr:cNvPr>
        <xdr:cNvSpPr txBox="1"/>
      </xdr:nvSpPr>
      <xdr:spPr>
        <a:xfrm>
          <a:off x="16408676" y="150148"/>
          <a:ext cx="4970627" cy="215905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r>
            <a:rPr lang="nl-BE" sz="1100" b="1">
              <a:solidFill>
                <a:srgbClr val="0070C0"/>
              </a:solidFill>
            </a:rPr>
            <a:t>PMR = </a:t>
          </a:r>
          <a:r>
            <a:rPr lang="nl-BE" sz="1100" b="0">
              <a:solidFill>
                <a:sysClr val="windowText" lastClr="000000"/>
              </a:solidFill>
            </a:rPr>
            <a:t>PARASITEMIA % Timepoint</a:t>
          </a:r>
          <a:r>
            <a:rPr lang="nl-BE" sz="1100" b="0" baseline="0">
              <a:solidFill>
                <a:sysClr val="windowText" lastClr="000000"/>
              </a:solidFill>
            </a:rPr>
            <a:t> 2 / PARASITEMIA % Timepoint 1</a:t>
          </a:r>
          <a:endParaRPr lang="nl-BE" sz="1100" b="0">
            <a:solidFill>
              <a:sysClr val="windowText" lastClr="000000"/>
            </a:solidFill>
          </a:endParaRPr>
        </a:p>
        <a:p>
          <a:r>
            <a:rPr lang="nl-BE" sz="1100" b="1">
              <a:solidFill>
                <a:srgbClr val="0070C0"/>
              </a:solidFill>
            </a:rPr>
            <a:t>*Fold change1</a:t>
          </a:r>
          <a:r>
            <a:rPr lang="nl-BE" sz="1100" b="1" baseline="0">
              <a:solidFill>
                <a:srgbClr val="0070C0"/>
              </a:solidFill>
            </a:rPr>
            <a:t> = </a:t>
          </a:r>
          <a:r>
            <a:rPr lang="nl-BE" sz="1100" b="0" baseline="0">
              <a:solidFill>
                <a:srgbClr val="0070C0"/>
              </a:solidFill>
            </a:rPr>
            <a:t>%Late stages Timepoint 2 /Timepoint 1</a:t>
          </a:r>
        </a:p>
        <a:p>
          <a:pPr marL="0" marR="0" lvl="0" indent="0" defTabSz="914400" eaLnBrk="1" fontAlgn="auto" latinLnBrk="0" hangingPunct="1">
            <a:lnSpc>
              <a:spcPct val="100000"/>
            </a:lnSpc>
            <a:spcBef>
              <a:spcPts val="0"/>
            </a:spcBef>
            <a:spcAft>
              <a:spcPts val="0"/>
            </a:spcAft>
            <a:buClrTx/>
            <a:buSzTx/>
            <a:buFontTx/>
            <a:buNone/>
            <a:tabLst/>
            <a:defRPr/>
          </a:pPr>
          <a:r>
            <a:rPr lang="nl-BE" sz="1100" b="1">
              <a:solidFill>
                <a:schemeClr val="dk1"/>
              </a:solidFill>
              <a:effectLst/>
              <a:latin typeface="+mn-lt"/>
              <a:ea typeface="+mn-ea"/>
              <a:cs typeface="+mn-cs"/>
            </a:rPr>
            <a:t>*Fold change2</a:t>
          </a:r>
          <a:r>
            <a:rPr lang="nl-BE" sz="1100" b="1" baseline="0">
              <a:solidFill>
                <a:schemeClr val="dk1"/>
              </a:solidFill>
              <a:effectLst/>
              <a:latin typeface="+mn-lt"/>
              <a:ea typeface="+mn-ea"/>
              <a:cs typeface="+mn-cs"/>
            </a:rPr>
            <a:t> = </a:t>
          </a:r>
          <a:r>
            <a:rPr lang="nl-BE" sz="1100" b="0" baseline="0">
              <a:solidFill>
                <a:schemeClr val="dk1"/>
              </a:solidFill>
              <a:effectLst/>
              <a:latin typeface="+mn-lt"/>
              <a:ea typeface="+mn-ea"/>
              <a:cs typeface="+mn-cs"/>
            </a:rPr>
            <a:t>%Late stages Timepoint 3 / Timepoint 2</a:t>
          </a:r>
        </a:p>
        <a:p>
          <a:pPr marL="0" marR="0" lvl="0" indent="0" defTabSz="914400" eaLnBrk="1" fontAlgn="auto" latinLnBrk="0" hangingPunct="1">
            <a:lnSpc>
              <a:spcPct val="100000"/>
            </a:lnSpc>
            <a:spcBef>
              <a:spcPts val="0"/>
            </a:spcBef>
            <a:spcAft>
              <a:spcPts val="0"/>
            </a:spcAft>
            <a:buClrTx/>
            <a:buSzTx/>
            <a:buFontTx/>
            <a:buNone/>
            <a:tabLst/>
            <a:defRPr/>
          </a:pPr>
          <a:r>
            <a:rPr lang="nl-BE" sz="1100" b="1" baseline="0">
              <a:solidFill>
                <a:schemeClr val="dk1"/>
              </a:solidFill>
              <a:effectLst/>
              <a:latin typeface="+mn-lt"/>
              <a:ea typeface="+mn-ea"/>
              <a:cs typeface="+mn-cs"/>
            </a:rPr>
            <a:t>with </a:t>
          </a:r>
        </a:p>
        <a:p>
          <a:pPr marL="0" marR="0" lvl="0" indent="0" defTabSz="914400" eaLnBrk="1" fontAlgn="auto" latinLnBrk="0" hangingPunct="1">
            <a:lnSpc>
              <a:spcPct val="100000"/>
            </a:lnSpc>
            <a:spcBef>
              <a:spcPts val="0"/>
            </a:spcBef>
            <a:spcAft>
              <a:spcPts val="0"/>
            </a:spcAft>
            <a:buClrTx/>
            <a:buSzTx/>
            <a:buFontTx/>
            <a:buNone/>
            <a:tabLst/>
            <a:defRPr/>
          </a:pPr>
          <a:r>
            <a:rPr lang="nl-BE" sz="1100" b="1" baseline="0">
              <a:solidFill>
                <a:schemeClr val="dk1"/>
              </a:solidFill>
              <a:effectLst/>
              <a:latin typeface="+mn-lt"/>
              <a:ea typeface="+mn-ea"/>
              <a:cs typeface="+mn-cs"/>
            </a:rPr>
            <a:t>Timepoint 1 </a:t>
          </a:r>
          <a:r>
            <a:rPr lang="nl-BE" sz="1100" b="0" baseline="0">
              <a:solidFill>
                <a:schemeClr val="dk1"/>
              </a:solidFill>
              <a:effectLst/>
              <a:latin typeface="+mn-lt"/>
              <a:ea typeface="+mn-ea"/>
              <a:cs typeface="+mn-cs"/>
            </a:rPr>
            <a:t>=&gt; ~35-40 hpi Gen0 (expected late stages)</a:t>
          </a:r>
          <a:endParaRPr lang="nl-BE" sz="1100" b="0"/>
        </a:p>
        <a:p>
          <a:pPr marL="0" marR="0" lvl="0" indent="0" defTabSz="914400" eaLnBrk="1" fontAlgn="auto" latinLnBrk="0" hangingPunct="1">
            <a:lnSpc>
              <a:spcPct val="100000"/>
            </a:lnSpc>
            <a:spcBef>
              <a:spcPts val="0"/>
            </a:spcBef>
            <a:spcAft>
              <a:spcPts val="0"/>
            </a:spcAft>
            <a:buClrTx/>
            <a:buSzTx/>
            <a:buFontTx/>
            <a:buNone/>
            <a:tabLst/>
            <a:defRPr/>
          </a:pPr>
          <a:r>
            <a:rPr lang="nl-BE" sz="1100" b="1" baseline="0">
              <a:solidFill>
                <a:schemeClr val="dk1"/>
              </a:solidFill>
              <a:effectLst/>
              <a:latin typeface="+mn-lt"/>
              <a:ea typeface="+mn-ea"/>
              <a:cs typeface="+mn-cs"/>
            </a:rPr>
            <a:t>Timepoint 2 </a:t>
          </a:r>
          <a:r>
            <a:rPr lang="nl-BE" sz="1100" b="0" baseline="0">
              <a:solidFill>
                <a:schemeClr val="dk1"/>
              </a:solidFill>
              <a:effectLst/>
              <a:latin typeface="+mn-lt"/>
              <a:ea typeface="+mn-ea"/>
              <a:cs typeface="+mn-cs"/>
            </a:rPr>
            <a:t>=&gt; ~25-30 hpi Gen1 (expected early stages, so decrease of late stages)</a:t>
          </a:r>
          <a:endParaRPr lang="nl-BE" b="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nl-BE" sz="1100" b="1" baseline="0">
              <a:solidFill>
                <a:schemeClr val="dk1"/>
              </a:solidFill>
              <a:effectLst/>
              <a:latin typeface="+mn-lt"/>
              <a:ea typeface="+mn-ea"/>
              <a:cs typeface="+mn-cs"/>
            </a:rPr>
            <a:t>Timepoint 3 </a:t>
          </a:r>
          <a:r>
            <a:rPr lang="nl-BE" sz="1100" b="0" baseline="0">
              <a:solidFill>
                <a:schemeClr val="dk1"/>
              </a:solidFill>
              <a:effectLst/>
              <a:latin typeface="+mn-lt"/>
              <a:ea typeface="+mn-ea"/>
              <a:cs typeface="+mn-cs"/>
            </a:rPr>
            <a:t>=&gt; ~35-40 hpi Gen1 (expected late stages, so increase from timepoint2)</a:t>
          </a:r>
          <a:endParaRPr lang="nl-BE" b="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nl-BE" sz="1100" b="0"/>
        </a:p>
        <a:p>
          <a:pPr marL="0" marR="0" lvl="0" indent="0" defTabSz="914400" eaLnBrk="1" fontAlgn="auto" latinLnBrk="0" hangingPunct="1">
            <a:lnSpc>
              <a:spcPct val="100000"/>
            </a:lnSpc>
            <a:spcBef>
              <a:spcPts val="0"/>
            </a:spcBef>
            <a:spcAft>
              <a:spcPts val="0"/>
            </a:spcAft>
            <a:buClrTx/>
            <a:buSzTx/>
            <a:buFontTx/>
            <a:buNone/>
            <a:tabLst/>
            <a:defRPr/>
          </a:pPr>
          <a:r>
            <a:rPr lang="nl-BE" sz="1100" b="1"/>
            <a:t>INTERPRETATION:</a:t>
          </a:r>
        </a:p>
        <a:p>
          <a:pPr marL="0" marR="0" lvl="0" indent="0" defTabSz="914400" eaLnBrk="1" fontAlgn="auto" latinLnBrk="0" hangingPunct="1">
            <a:lnSpc>
              <a:spcPct val="100000"/>
            </a:lnSpc>
            <a:spcBef>
              <a:spcPts val="0"/>
            </a:spcBef>
            <a:spcAft>
              <a:spcPts val="0"/>
            </a:spcAft>
            <a:buClrTx/>
            <a:buSzTx/>
            <a:buFontTx/>
            <a:buNone/>
            <a:tabLst/>
            <a:defRPr/>
          </a:pPr>
          <a:r>
            <a:rPr lang="nl-BE" sz="1100"/>
            <a:t>FC&lt;1</a:t>
          </a:r>
          <a:r>
            <a:rPr lang="nl-BE" sz="1100" baseline="0"/>
            <a:t> = decrease</a:t>
          </a:r>
        </a:p>
        <a:p>
          <a:pPr marL="0" marR="0" lvl="0" indent="0" defTabSz="914400" eaLnBrk="1" fontAlgn="auto" latinLnBrk="0" hangingPunct="1">
            <a:lnSpc>
              <a:spcPct val="100000"/>
            </a:lnSpc>
            <a:spcBef>
              <a:spcPts val="0"/>
            </a:spcBef>
            <a:spcAft>
              <a:spcPts val="0"/>
            </a:spcAft>
            <a:buClrTx/>
            <a:buSzTx/>
            <a:buFontTx/>
            <a:buNone/>
            <a:tabLst/>
            <a:defRPr/>
          </a:pPr>
          <a:r>
            <a:rPr lang="nl-BE" sz="1100" baseline="0"/>
            <a:t>FC&gt;1 = increase</a:t>
          </a:r>
        </a:p>
        <a:p>
          <a:pPr marL="0" marR="0" lvl="0" indent="0" defTabSz="914400" eaLnBrk="1" fontAlgn="auto" latinLnBrk="0" hangingPunct="1">
            <a:lnSpc>
              <a:spcPct val="100000"/>
            </a:lnSpc>
            <a:spcBef>
              <a:spcPts val="0"/>
            </a:spcBef>
            <a:spcAft>
              <a:spcPts val="0"/>
            </a:spcAft>
            <a:buClrTx/>
            <a:buSzTx/>
            <a:buFontTx/>
            <a:buNone/>
            <a:tabLst/>
            <a:defRPr/>
          </a:pPr>
          <a:r>
            <a:rPr lang="nl-BE" sz="1100" baseline="0"/>
            <a:t>FC = 1 no change</a:t>
          </a:r>
          <a:endParaRPr lang="nl-BE" sz="1100"/>
        </a:p>
      </xdr:txBody>
    </xdr:sp>
    <xdr:clientData/>
  </xdr:oneCellAnchor>
  <xdr:oneCellAnchor>
    <xdr:from>
      <xdr:col>12</xdr:col>
      <xdr:colOff>29528</xdr:colOff>
      <xdr:row>7</xdr:row>
      <xdr:rowOff>123416</xdr:rowOff>
    </xdr:from>
    <xdr:ext cx="4602480" cy="609013"/>
    <xdr:sp macro="" textlink="">
      <xdr:nvSpPr>
        <xdr:cNvPr id="3" name="TextBox 2">
          <a:extLst>
            <a:ext uri="{FF2B5EF4-FFF2-40B4-BE49-F238E27FC236}">
              <a16:creationId xmlns:a16="http://schemas.microsoft.com/office/drawing/2014/main" id="{2B4FDE98-5FB5-4E09-A542-4FC844371170}"/>
            </a:ext>
          </a:extLst>
        </xdr:cNvPr>
        <xdr:cNvSpPr txBox="1"/>
      </xdr:nvSpPr>
      <xdr:spPr>
        <a:xfrm>
          <a:off x="18630492" y="2776809"/>
          <a:ext cx="4602480" cy="60901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r>
            <a:rPr lang="nl-BE" sz="1100" b="1">
              <a:solidFill>
                <a:srgbClr val="0070C0"/>
              </a:solidFill>
            </a:rPr>
            <a:t>LateStagesProp1</a:t>
          </a:r>
          <a:r>
            <a:rPr lang="nl-BE" sz="1100" b="1" baseline="0">
              <a:solidFill>
                <a:srgbClr val="0070C0"/>
              </a:solidFill>
            </a:rPr>
            <a:t>= </a:t>
          </a:r>
          <a:r>
            <a:rPr lang="nl-BE" sz="1100" b="0" baseline="0">
              <a:solidFill>
                <a:sysClr val="windowText" lastClr="000000"/>
              </a:solidFill>
            </a:rPr>
            <a:t>LateStages_Proportion_CHOLINE_Gen0_35to40hpi(%)</a:t>
          </a:r>
        </a:p>
        <a:p>
          <a:r>
            <a:rPr lang="nl-BE" sz="1100" b="1">
              <a:solidFill>
                <a:srgbClr val="0070C0"/>
              </a:solidFill>
              <a:effectLst/>
              <a:latin typeface="+mn-lt"/>
              <a:ea typeface="+mn-ea"/>
              <a:cs typeface="+mn-cs"/>
            </a:rPr>
            <a:t>LateStagesProp2</a:t>
          </a:r>
          <a:r>
            <a:rPr lang="nl-BE" sz="1100" b="1" baseline="0">
              <a:solidFill>
                <a:schemeClr val="dk1"/>
              </a:solidFill>
              <a:effectLst/>
              <a:latin typeface="+mn-lt"/>
              <a:ea typeface="+mn-ea"/>
              <a:cs typeface="+mn-cs"/>
            </a:rPr>
            <a:t>= </a:t>
          </a:r>
          <a:r>
            <a:rPr lang="nl-BE" sz="1100" b="0" baseline="0">
              <a:solidFill>
                <a:schemeClr val="dk1"/>
              </a:solidFill>
              <a:effectLst/>
              <a:latin typeface="+mn-lt"/>
              <a:ea typeface="+mn-ea"/>
              <a:cs typeface="+mn-cs"/>
            </a:rPr>
            <a:t>LateStages_Proportion_CHOLINE_Gen1_25to30hpi (%)</a:t>
          </a:r>
        </a:p>
        <a:p>
          <a:pPr marL="0" marR="0" lvl="0" indent="0" defTabSz="914400" eaLnBrk="1" fontAlgn="auto" latinLnBrk="0" hangingPunct="1">
            <a:lnSpc>
              <a:spcPct val="100000"/>
            </a:lnSpc>
            <a:spcBef>
              <a:spcPts val="0"/>
            </a:spcBef>
            <a:spcAft>
              <a:spcPts val="0"/>
            </a:spcAft>
            <a:buClrTx/>
            <a:buSzTx/>
            <a:buFontTx/>
            <a:buNone/>
            <a:tabLst/>
            <a:defRPr/>
          </a:pPr>
          <a:r>
            <a:rPr lang="nl-BE" sz="1100" b="1">
              <a:solidFill>
                <a:srgbClr val="0070C0"/>
              </a:solidFill>
              <a:effectLst/>
              <a:latin typeface="+mn-lt"/>
              <a:ea typeface="+mn-ea"/>
              <a:cs typeface="+mn-cs"/>
            </a:rPr>
            <a:t>LateStagesProp3</a:t>
          </a:r>
          <a:r>
            <a:rPr lang="nl-BE" sz="1100" b="1" baseline="0">
              <a:solidFill>
                <a:schemeClr val="dk1"/>
              </a:solidFill>
              <a:effectLst/>
              <a:latin typeface="+mn-lt"/>
              <a:ea typeface="+mn-ea"/>
              <a:cs typeface="+mn-cs"/>
            </a:rPr>
            <a:t>= </a:t>
          </a:r>
          <a:r>
            <a:rPr lang="nl-BE" sz="1100" b="0" baseline="0">
              <a:solidFill>
                <a:schemeClr val="dk1"/>
              </a:solidFill>
              <a:effectLst/>
              <a:latin typeface="+mn-lt"/>
              <a:ea typeface="+mn-ea"/>
              <a:cs typeface="+mn-cs"/>
            </a:rPr>
            <a:t>LateStagesProportion_CHOLINE_Gen1_35to40hpi (%)s</a:t>
          </a:r>
          <a:endParaRPr lang="nl-BE">
            <a:effectLst/>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00B72-6258-41CE-99FB-0F40B4F58C06}">
  <sheetPr>
    <tabColor theme="9" tint="0.79998168889431442"/>
  </sheetPr>
  <dimension ref="A1:AL98"/>
  <sheetViews>
    <sheetView tabSelected="1" zoomScaleNormal="100" workbookViewId="0">
      <pane xSplit="1" topLeftCell="B1" activePane="topRight" state="frozen"/>
      <selection pane="topRight" activeCell="B1" sqref="B1"/>
    </sheetView>
  </sheetViews>
  <sheetFormatPr defaultRowHeight="14.4" x14ac:dyDescent="0.3"/>
  <cols>
    <col min="1" max="1" width="8.88671875" style="10"/>
    <col min="2" max="2" width="38.44140625" style="10" bestFit="1" customWidth="1"/>
    <col min="3" max="3" width="21.33203125" style="10" bestFit="1" customWidth="1"/>
    <col min="4" max="4" width="21.5546875" style="10" customWidth="1"/>
    <col min="5" max="5" width="20.109375" style="10" bestFit="1" customWidth="1"/>
    <col min="6" max="6" width="20.109375" style="10" customWidth="1"/>
    <col min="7" max="7" width="18" style="10" bestFit="1" customWidth="1"/>
    <col min="8" max="8" width="28.44140625" style="10" bestFit="1" customWidth="1"/>
    <col min="9" max="9" width="27" style="10" customWidth="1"/>
    <col min="10" max="10" width="27.33203125" style="10" bestFit="1" customWidth="1"/>
    <col min="11" max="11" width="21.88671875" style="10" customWidth="1"/>
    <col min="12" max="12" width="34.77734375" style="10" bestFit="1" customWidth="1"/>
    <col min="13" max="13" width="27.33203125" style="10" customWidth="1"/>
    <col min="14" max="14" width="19" style="10" bestFit="1" customWidth="1"/>
    <col min="15" max="15" width="33.21875" style="10" customWidth="1"/>
    <col min="16" max="16" width="62.77734375" style="10" customWidth="1"/>
    <col min="17" max="17" width="34" style="10" bestFit="1" customWidth="1"/>
    <col min="18" max="18" width="28.88671875" style="10" bestFit="1" customWidth="1"/>
    <col min="19" max="19" width="37.21875" style="10" customWidth="1"/>
    <col min="20" max="20" width="27.33203125" style="10" bestFit="1" customWidth="1"/>
    <col min="21" max="22" width="21.88671875" style="10" customWidth="1"/>
    <col min="23" max="23" width="19" style="10" bestFit="1" customWidth="1"/>
    <col min="24" max="24" width="10.5546875" style="10" customWidth="1"/>
    <col min="25" max="25" width="13.44140625" style="10" bestFit="1" customWidth="1"/>
    <col min="26" max="28" width="8.88671875" style="10"/>
    <col min="29" max="29" width="10.109375" style="10" customWidth="1"/>
    <col min="30" max="30" width="11.6640625" style="10" bestFit="1" customWidth="1"/>
    <col min="31" max="31" width="10.44140625" style="10" customWidth="1"/>
    <col min="32" max="32" width="9.88671875" style="10" bestFit="1" customWidth="1"/>
    <col min="33" max="33" width="21.109375" style="10" bestFit="1" customWidth="1"/>
    <col min="34" max="34" width="24.5546875" style="10" bestFit="1" customWidth="1"/>
    <col min="35" max="35" width="25.6640625" style="10" bestFit="1" customWidth="1"/>
    <col min="36" max="36" width="24.109375" style="10" bestFit="1" customWidth="1"/>
    <col min="37" max="37" width="27.6640625" style="11" bestFit="1" customWidth="1"/>
    <col min="38" max="38" width="9.88671875" style="10" bestFit="1" customWidth="1"/>
    <col min="39" max="16384" width="8.88671875" style="10"/>
  </cols>
  <sheetData>
    <row r="1" spans="1:38" x14ac:dyDescent="0.3">
      <c r="B1" s="68"/>
      <c r="D1" s="69" t="s">
        <v>162</v>
      </c>
      <c r="E1" s="64"/>
      <c r="F1" s="64"/>
      <c r="G1" s="64"/>
      <c r="H1" s="88" t="s">
        <v>163</v>
      </c>
      <c r="I1" s="43"/>
      <c r="J1" s="43"/>
      <c r="K1" s="43"/>
      <c r="L1" s="43"/>
      <c r="M1" s="43"/>
      <c r="N1" s="63"/>
      <c r="O1" s="63" t="s">
        <v>325</v>
      </c>
      <c r="P1" s="63" t="s">
        <v>625</v>
      </c>
      <c r="Q1" s="43"/>
      <c r="R1" s="43"/>
      <c r="S1" s="89" t="s">
        <v>164</v>
      </c>
      <c r="T1" s="44"/>
      <c r="U1" s="44"/>
      <c r="V1" s="44"/>
      <c r="W1" s="44"/>
      <c r="X1" s="55" t="s">
        <v>83</v>
      </c>
      <c r="Y1" s="56" t="s">
        <v>84</v>
      </c>
      <c r="Z1" s="47"/>
      <c r="AA1" s="47"/>
      <c r="AB1" s="47"/>
      <c r="AC1" s="47"/>
      <c r="AD1" s="47"/>
      <c r="AE1" s="57" t="s">
        <v>85</v>
      </c>
      <c r="AF1" s="50"/>
      <c r="AG1" s="50"/>
      <c r="AH1" s="50"/>
      <c r="AI1" s="50"/>
      <c r="AJ1" s="50"/>
      <c r="AK1" s="51"/>
      <c r="AL1" s="50"/>
    </row>
    <row r="2" spans="1:38" s="8" customFormat="1" x14ac:dyDescent="0.3">
      <c r="A2" s="8" t="s">
        <v>19</v>
      </c>
      <c r="B2" s="8" t="s">
        <v>169</v>
      </c>
      <c r="C2" s="8" t="s">
        <v>166</v>
      </c>
      <c r="D2" s="65" t="s">
        <v>98</v>
      </c>
      <c r="E2" s="65" t="s">
        <v>168</v>
      </c>
      <c r="F2" s="65" t="s">
        <v>569</v>
      </c>
      <c r="G2" s="65" t="s">
        <v>165</v>
      </c>
      <c r="H2" s="46" t="s">
        <v>167</v>
      </c>
      <c r="I2" s="46" t="s">
        <v>567</v>
      </c>
      <c r="J2" s="46" t="s">
        <v>568</v>
      </c>
      <c r="K2" s="46" t="s">
        <v>82</v>
      </c>
      <c r="L2" s="46" t="s">
        <v>102</v>
      </c>
      <c r="M2" s="46" t="s">
        <v>100</v>
      </c>
      <c r="N2" s="46" t="s">
        <v>3</v>
      </c>
      <c r="O2" s="46" t="s">
        <v>321</v>
      </c>
      <c r="P2" s="46" t="s">
        <v>320</v>
      </c>
      <c r="Q2" s="46" t="s">
        <v>328</v>
      </c>
      <c r="R2" s="46" t="s">
        <v>329</v>
      </c>
      <c r="S2" s="45" t="s">
        <v>80</v>
      </c>
      <c r="T2" s="45" t="s">
        <v>81</v>
      </c>
      <c r="U2" s="45" t="s">
        <v>82</v>
      </c>
      <c r="V2" s="45" t="s">
        <v>100</v>
      </c>
      <c r="W2" s="45" t="s">
        <v>3</v>
      </c>
      <c r="X2" s="49" t="s">
        <v>1</v>
      </c>
      <c r="Y2" s="48" t="s">
        <v>2</v>
      </c>
      <c r="Z2" s="48" t="s">
        <v>4</v>
      </c>
      <c r="AA2" s="48" t="s">
        <v>5</v>
      </c>
      <c r="AB2" s="48" t="s">
        <v>6</v>
      </c>
      <c r="AC2" s="48" t="s">
        <v>7</v>
      </c>
      <c r="AD2" s="48" t="s">
        <v>8</v>
      </c>
      <c r="AE2" s="52" t="s">
        <v>303</v>
      </c>
      <c r="AF2" s="52" t="s">
        <v>304</v>
      </c>
      <c r="AG2" s="52" t="s">
        <v>305</v>
      </c>
      <c r="AH2" s="52" t="s">
        <v>306</v>
      </c>
      <c r="AI2" s="52" t="s">
        <v>307</v>
      </c>
      <c r="AJ2" s="52" t="s">
        <v>308</v>
      </c>
      <c r="AK2" s="53" t="s">
        <v>309</v>
      </c>
      <c r="AL2" s="52" t="s">
        <v>13</v>
      </c>
    </row>
    <row r="3" spans="1:38" x14ac:dyDescent="0.3">
      <c r="A3" s="10">
        <v>1</v>
      </c>
      <c r="B3" s="10">
        <v>1</v>
      </c>
      <c r="C3" s="101">
        <v>44783</v>
      </c>
      <c r="D3" s="10" t="s">
        <v>99</v>
      </c>
      <c r="E3" s="10">
        <v>1</v>
      </c>
      <c r="F3" s="10">
        <v>1</v>
      </c>
      <c r="G3" s="101">
        <v>44784</v>
      </c>
      <c r="H3" s="101">
        <v>44852</v>
      </c>
      <c r="I3" s="10">
        <v>1023</v>
      </c>
      <c r="J3" s="10">
        <v>40</v>
      </c>
      <c r="K3" s="10">
        <v>28</v>
      </c>
      <c r="M3" s="102">
        <v>3.9100684261974585</v>
      </c>
      <c r="N3" s="102">
        <v>3.7880745640581299</v>
      </c>
      <c r="O3" s="102">
        <f>MEDIAN(N3,N9,N21,N24,N33,N42,N45,N48,N51,N57,N72,N81,N84,N87)</f>
        <v>2.6753102444689585</v>
      </c>
      <c r="P3" s="102"/>
      <c r="Q3" s="103">
        <f>((J3)+(J4)+(J5))/((I3)+(I4)+(I5))*100</f>
        <v>3.8187702265372168</v>
      </c>
      <c r="R3" s="103">
        <f>100-(Q3)</f>
        <v>96.181229773462789</v>
      </c>
      <c r="S3" s="10">
        <v>1101</v>
      </c>
      <c r="T3" s="10">
        <v>52</v>
      </c>
      <c r="V3" s="102">
        <v>4.7229791099999998</v>
      </c>
      <c r="W3" s="102">
        <f>GEOMEAN(V3:V5)</f>
        <v>4.5378990182247332</v>
      </c>
      <c r="X3" s="10">
        <v>0</v>
      </c>
      <c r="Y3" s="1">
        <v>0</v>
      </c>
      <c r="Z3" s="102">
        <v>6</v>
      </c>
      <c r="AA3" s="10">
        <v>0</v>
      </c>
      <c r="AB3" s="10">
        <v>1</v>
      </c>
      <c r="AC3" s="10">
        <v>1</v>
      </c>
      <c r="AD3" s="10">
        <v>1</v>
      </c>
      <c r="AE3" s="10">
        <v>1</v>
      </c>
      <c r="AF3" s="10">
        <v>1</v>
      </c>
      <c r="AG3" s="10">
        <v>1839</v>
      </c>
      <c r="AH3" s="10">
        <v>0.06</v>
      </c>
      <c r="AI3" s="10">
        <v>0</v>
      </c>
      <c r="AJ3" s="10">
        <v>6490</v>
      </c>
      <c r="AK3" s="104">
        <v>1.9800000000000002E-2</v>
      </c>
      <c r="AL3" s="10">
        <v>0</v>
      </c>
    </row>
    <row r="4" spans="1:38" x14ac:dyDescent="0.3">
      <c r="C4" s="101">
        <v>44783</v>
      </c>
      <c r="E4" s="10">
        <v>2</v>
      </c>
      <c r="F4" s="10">
        <v>1</v>
      </c>
      <c r="G4" s="101">
        <v>44784</v>
      </c>
      <c r="H4" s="101">
        <v>44852</v>
      </c>
      <c r="I4" s="10">
        <v>1034</v>
      </c>
      <c r="J4" s="10">
        <v>33</v>
      </c>
      <c r="K4" s="10">
        <v>23</v>
      </c>
      <c r="M4" s="102">
        <v>3.1914893617021276</v>
      </c>
      <c r="N4" s="102"/>
      <c r="O4" s="102"/>
      <c r="P4" s="102"/>
      <c r="Q4" s="103"/>
      <c r="R4" s="102"/>
      <c r="S4" s="10">
        <v>789</v>
      </c>
      <c r="T4" s="10">
        <v>38</v>
      </c>
      <c r="V4" s="102">
        <v>4.8162230670000001</v>
      </c>
      <c r="W4" s="102"/>
      <c r="Y4" s="1">
        <v>0</v>
      </c>
      <c r="Z4" s="102"/>
      <c r="AJ4" s="10">
        <v>6490</v>
      </c>
      <c r="AK4" s="104"/>
    </row>
    <row r="5" spans="1:38" x14ac:dyDescent="0.3">
      <c r="C5" s="101">
        <v>44783</v>
      </c>
      <c r="E5" s="10">
        <v>3</v>
      </c>
      <c r="F5" s="10">
        <v>1</v>
      </c>
      <c r="G5" s="101">
        <v>44784</v>
      </c>
      <c r="H5" s="101">
        <v>44852</v>
      </c>
      <c r="I5" s="10">
        <v>1033</v>
      </c>
      <c r="J5" s="10">
        <v>45</v>
      </c>
      <c r="K5" s="10">
        <v>30</v>
      </c>
      <c r="M5" s="102">
        <v>4.3562439496611809</v>
      </c>
      <c r="N5" s="102"/>
      <c r="O5" s="102"/>
      <c r="P5" s="102"/>
      <c r="Q5" s="103"/>
      <c r="R5" s="102"/>
      <c r="S5" s="10">
        <v>925</v>
      </c>
      <c r="T5" s="10">
        <v>38</v>
      </c>
      <c r="V5" s="102">
        <v>4.1081081079999997</v>
      </c>
      <c r="W5" s="102"/>
      <c r="Y5" s="1">
        <v>0</v>
      </c>
      <c r="Z5" s="102"/>
      <c r="AJ5" s="10">
        <v>6490</v>
      </c>
      <c r="AK5" s="104"/>
    </row>
    <row r="6" spans="1:38" x14ac:dyDescent="0.3">
      <c r="A6" s="10">
        <v>2</v>
      </c>
      <c r="B6" s="10">
        <v>11</v>
      </c>
      <c r="C6" s="101">
        <v>44812</v>
      </c>
      <c r="D6" s="10" t="s">
        <v>101</v>
      </c>
      <c r="E6" s="10">
        <v>1</v>
      </c>
      <c r="F6" s="10">
        <v>2</v>
      </c>
      <c r="G6" s="101">
        <v>44813</v>
      </c>
      <c r="H6" s="106" t="s">
        <v>341</v>
      </c>
      <c r="I6" s="10">
        <v>1030</v>
      </c>
      <c r="J6" s="10">
        <v>49</v>
      </c>
      <c r="K6" s="10">
        <v>16</v>
      </c>
      <c r="L6" s="10" t="s">
        <v>99</v>
      </c>
      <c r="M6" s="102">
        <v>4.7572815533980579</v>
      </c>
      <c r="N6" s="102">
        <v>3.9595770695108299</v>
      </c>
      <c r="O6" s="102"/>
      <c r="P6" s="102">
        <f>(N6)/($O$3)</f>
        <v>1.480044072532154</v>
      </c>
      <c r="Q6" s="103">
        <f>((J6)+(J7)+(J8))/((I6)+(I7)+(I8))*100</f>
        <v>4.0325203252032527</v>
      </c>
      <c r="R6" s="103">
        <f>100-(Q6)</f>
        <v>95.967479674796749</v>
      </c>
      <c r="W6" s="102"/>
      <c r="X6" s="10">
        <v>0</v>
      </c>
      <c r="Y6" s="1">
        <v>1</v>
      </c>
      <c r="Z6" s="10">
        <v>9.6</v>
      </c>
      <c r="AA6" s="10">
        <v>1</v>
      </c>
      <c r="AB6" s="10">
        <v>1</v>
      </c>
      <c r="AC6" s="10">
        <v>1</v>
      </c>
      <c r="AD6" s="10">
        <v>1</v>
      </c>
      <c r="AE6" s="10">
        <v>1</v>
      </c>
      <c r="AF6" s="10">
        <v>1</v>
      </c>
      <c r="AG6" s="10">
        <v>1690</v>
      </c>
      <c r="AH6" s="10">
        <v>0.05</v>
      </c>
      <c r="AI6" s="10">
        <v>0</v>
      </c>
      <c r="AJ6" s="10">
        <v>3350</v>
      </c>
      <c r="AK6" s="104">
        <v>6.7000000000000004E-2</v>
      </c>
      <c r="AL6" s="10">
        <v>0</v>
      </c>
    </row>
    <row r="7" spans="1:38" x14ac:dyDescent="0.3">
      <c r="C7" s="101">
        <v>44812</v>
      </c>
      <c r="E7" s="10">
        <v>2</v>
      </c>
      <c r="F7" s="10">
        <v>2</v>
      </c>
      <c r="G7" s="101">
        <v>44813</v>
      </c>
      <c r="H7" s="106" t="s">
        <v>341</v>
      </c>
      <c r="I7" s="10">
        <v>1038</v>
      </c>
      <c r="J7" s="10">
        <v>31</v>
      </c>
      <c r="K7" s="10">
        <v>18</v>
      </c>
      <c r="L7" s="10" t="s">
        <v>99</v>
      </c>
      <c r="M7" s="102">
        <v>2.9865125240847785</v>
      </c>
      <c r="N7" s="102"/>
      <c r="O7" s="102"/>
      <c r="P7" s="102"/>
      <c r="Q7" s="103"/>
      <c r="R7" s="102"/>
      <c r="W7" s="102"/>
      <c r="Y7" s="1">
        <v>1</v>
      </c>
      <c r="AJ7" s="10">
        <v>3350</v>
      </c>
      <c r="AK7" s="104"/>
    </row>
    <row r="8" spans="1:38" x14ac:dyDescent="0.3">
      <c r="C8" s="101">
        <v>44812</v>
      </c>
      <c r="E8" s="10">
        <v>3</v>
      </c>
      <c r="F8" s="10">
        <v>2</v>
      </c>
      <c r="G8" s="101">
        <v>44813</v>
      </c>
      <c r="H8" s="106" t="s">
        <v>341</v>
      </c>
      <c r="I8" s="10">
        <v>1007</v>
      </c>
      <c r="J8" s="10">
        <v>44</v>
      </c>
      <c r="K8" s="10">
        <v>13</v>
      </c>
      <c r="L8" s="10" t="s">
        <v>99</v>
      </c>
      <c r="M8" s="102">
        <v>4.3694141012909631</v>
      </c>
      <c r="N8" s="102"/>
      <c r="O8" s="102"/>
      <c r="P8" s="102"/>
      <c r="Q8" s="103"/>
      <c r="R8" s="102"/>
      <c r="W8" s="102"/>
      <c r="Y8" s="1">
        <v>1</v>
      </c>
      <c r="AJ8" s="10">
        <v>3350</v>
      </c>
      <c r="AK8" s="104"/>
    </row>
    <row r="9" spans="1:38" x14ac:dyDescent="0.3">
      <c r="A9" s="10">
        <v>3</v>
      </c>
      <c r="B9" s="10">
        <v>7</v>
      </c>
      <c r="C9" s="101">
        <v>44798</v>
      </c>
      <c r="D9" s="10" t="s">
        <v>99</v>
      </c>
      <c r="E9" s="10">
        <v>1</v>
      </c>
      <c r="F9" s="10">
        <v>3</v>
      </c>
      <c r="G9" s="101">
        <v>44799</v>
      </c>
      <c r="H9" s="101">
        <v>44862</v>
      </c>
      <c r="I9" s="10">
        <v>1039</v>
      </c>
      <c r="J9" s="10">
        <v>17</v>
      </c>
      <c r="K9" s="10">
        <v>14</v>
      </c>
      <c r="M9" s="102">
        <v>1.6361886429258903</v>
      </c>
      <c r="N9" s="102">
        <v>1.4669714536633001</v>
      </c>
      <c r="O9" s="102"/>
      <c r="P9" s="102"/>
      <c r="Q9" s="103">
        <f>((J9)+(J10)+(J11))/((I9)+(I10)+(I11))*100</f>
        <v>1.5433070866141734</v>
      </c>
      <c r="R9" s="103">
        <f>100-(Q9)</f>
        <v>98.456692913385822</v>
      </c>
      <c r="W9" s="102"/>
      <c r="X9" s="10">
        <v>0</v>
      </c>
      <c r="Y9" s="1">
        <v>0</v>
      </c>
      <c r="Z9" s="10">
        <v>7.4</v>
      </c>
      <c r="AA9" s="10">
        <v>1</v>
      </c>
      <c r="AB9" s="10">
        <v>1</v>
      </c>
      <c r="AC9" s="10">
        <v>1</v>
      </c>
      <c r="AD9" s="10">
        <v>0</v>
      </c>
      <c r="AE9" s="10">
        <v>1</v>
      </c>
      <c r="AF9" s="10">
        <v>1</v>
      </c>
      <c r="AG9" s="10">
        <v>5333</v>
      </c>
      <c r="AH9" s="102">
        <v>0.1</v>
      </c>
      <c r="AI9" s="10">
        <v>0</v>
      </c>
      <c r="AJ9" s="10">
        <v>5333</v>
      </c>
      <c r="AK9" s="104">
        <v>6.6600000000000001E-3</v>
      </c>
      <c r="AL9" s="10">
        <v>0</v>
      </c>
    </row>
    <row r="10" spans="1:38" x14ac:dyDescent="0.3">
      <c r="C10" s="101">
        <v>44798</v>
      </c>
      <c r="E10" s="10">
        <v>2</v>
      </c>
      <c r="F10" s="10">
        <v>3</v>
      </c>
      <c r="G10" s="101">
        <v>44799</v>
      </c>
      <c r="H10" s="101">
        <v>44862</v>
      </c>
      <c r="I10" s="10">
        <v>1088</v>
      </c>
      <c r="J10" s="10">
        <v>22</v>
      </c>
      <c r="K10" s="10">
        <v>19</v>
      </c>
      <c r="M10" s="102">
        <v>2.0220588235294117</v>
      </c>
      <c r="N10" s="102"/>
      <c r="O10" s="102"/>
      <c r="P10" s="102"/>
      <c r="Q10" s="103"/>
      <c r="R10" s="102"/>
      <c r="W10" s="102"/>
      <c r="Y10" s="1">
        <v>0</v>
      </c>
      <c r="AJ10" s="10">
        <v>5333</v>
      </c>
      <c r="AK10" s="104"/>
    </row>
    <row r="11" spans="1:38" x14ac:dyDescent="0.3">
      <c r="C11" s="101">
        <v>44798</v>
      </c>
      <c r="E11" s="10">
        <v>3</v>
      </c>
      <c r="F11" s="10">
        <v>3</v>
      </c>
      <c r="G11" s="101">
        <v>44799</v>
      </c>
      <c r="H11" s="101">
        <v>44862</v>
      </c>
      <c r="I11" s="10">
        <v>1048</v>
      </c>
      <c r="J11" s="10">
        <v>10</v>
      </c>
      <c r="K11" s="10">
        <v>14</v>
      </c>
      <c r="M11" s="102">
        <v>0.95419847328244278</v>
      </c>
      <c r="N11" s="102"/>
      <c r="O11" s="102"/>
      <c r="P11" s="102"/>
      <c r="Q11" s="103"/>
      <c r="R11" s="102"/>
      <c r="W11" s="102"/>
      <c r="Y11" s="1">
        <v>0</v>
      </c>
      <c r="AJ11" s="10">
        <v>5333</v>
      </c>
      <c r="AK11" s="104"/>
    </row>
    <row r="12" spans="1:38" x14ac:dyDescent="0.3">
      <c r="A12" s="10">
        <v>4</v>
      </c>
      <c r="B12" s="10">
        <v>1</v>
      </c>
      <c r="C12" s="101">
        <v>44783</v>
      </c>
      <c r="D12" s="10" t="s">
        <v>99</v>
      </c>
      <c r="E12" s="10">
        <v>1</v>
      </c>
      <c r="F12" s="10">
        <v>4</v>
      </c>
      <c r="G12" s="101">
        <v>44784</v>
      </c>
      <c r="H12" s="10" t="s">
        <v>331</v>
      </c>
      <c r="I12" s="10">
        <v>1021</v>
      </c>
      <c r="J12" s="10">
        <v>54</v>
      </c>
      <c r="K12" s="10">
        <v>40</v>
      </c>
      <c r="M12" s="102">
        <v>5.2889324191968656</v>
      </c>
      <c r="N12" s="102">
        <v>3.5678000495407098</v>
      </c>
      <c r="O12" s="102"/>
      <c r="P12" s="102">
        <f>(N12)/($O$3)</f>
        <v>1.3336023576768039</v>
      </c>
      <c r="Q12" s="103">
        <f>((J12)+(J13)+(J14))/((I12)+(I13)+(I14))*100</f>
        <v>3.8385826771653546</v>
      </c>
      <c r="R12" s="103">
        <f>100-(Q12)</f>
        <v>96.161417322834652</v>
      </c>
      <c r="W12" s="102"/>
      <c r="X12" s="10">
        <v>0</v>
      </c>
      <c r="Y12" s="1">
        <v>2</v>
      </c>
      <c r="Z12" s="102">
        <v>7.3</v>
      </c>
      <c r="AA12" s="10">
        <v>1</v>
      </c>
      <c r="AB12" s="10">
        <v>1</v>
      </c>
      <c r="AC12" s="10">
        <v>1</v>
      </c>
      <c r="AD12" s="10">
        <v>0</v>
      </c>
      <c r="AE12" s="10">
        <v>1</v>
      </c>
      <c r="AF12" s="10">
        <v>1</v>
      </c>
      <c r="AG12" s="10">
        <v>80</v>
      </c>
      <c r="AH12" s="10">
        <v>0.1</v>
      </c>
      <c r="AI12" s="10">
        <v>0</v>
      </c>
      <c r="AJ12" s="10">
        <v>6900</v>
      </c>
      <c r="AK12" s="104">
        <v>3.7999999999999999E-2</v>
      </c>
      <c r="AL12" s="10">
        <v>0</v>
      </c>
    </row>
    <row r="13" spans="1:38" x14ac:dyDescent="0.3">
      <c r="C13" s="101">
        <v>44783</v>
      </c>
      <c r="E13" s="10">
        <v>2</v>
      </c>
      <c r="F13" s="10">
        <v>4</v>
      </c>
      <c r="G13" s="101">
        <v>44784</v>
      </c>
      <c r="H13" s="10" t="s">
        <v>331</v>
      </c>
      <c r="I13" s="10">
        <v>1008</v>
      </c>
      <c r="J13" s="10">
        <v>21</v>
      </c>
      <c r="K13" s="10">
        <v>25</v>
      </c>
      <c r="M13" s="102">
        <v>2.083333333333333</v>
      </c>
      <c r="N13" s="102"/>
      <c r="O13" s="102"/>
      <c r="P13" s="102"/>
      <c r="Q13" s="103"/>
      <c r="R13" s="102"/>
      <c r="W13" s="102"/>
      <c r="Y13" s="1">
        <v>2</v>
      </c>
      <c r="Z13" s="102"/>
      <c r="AJ13" s="10">
        <v>6900</v>
      </c>
      <c r="AK13" s="104"/>
    </row>
    <row r="14" spans="1:38" x14ac:dyDescent="0.3">
      <c r="C14" s="101">
        <v>44783</v>
      </c>
      <c r="E14" s="10">
        <v>3</v>
      </c>
      <c r="F14" s="10">
        <v>4</v>
      </c>
      <c r="G14" s="101">
        <v>44784</v>
      </c>
      <c r="H14" s="10" t="s">
        <v>331</v>
      </c>
      <c r="I14" s="10">
        <v>1019</v>
      </c>
      <c r="J14" s="10">
        <v>42</v>
      </c>
      <c r="K14" s="10">
        <v>29</v>
      </c>
      <c r="M14" s="102">
        <v>4.1216879293424924</v>
      </c>
      <c r="N14" s="102"/>
      <c r="O14" s="102"/>
      <c r="P14" s="102"/>
      <c r="Q14" s="103"/>
      <c r="R14" s="102"/>
      <c r="W14" s="102"/>
      <c r="Y14" s="1">
        <v>2</v>
      </c>
      <c r="Z14" s="102"/>
      <c r="AJ14" s="10">
        <v>6900</v>
      </c>
      <c r="AK14" s="104"/>
    </row>
    <row r="15" spans="1:38" x14ac:dyDescent="0.3">
      <c r="A15" s="10">
        <v>5</v>
      </c>
      <c r="B15" s="10">
        <v>2</v>
      </c>
      <c r="C15" s="101">
        <v>44784</v>
      </c>
      <c r="D15" s="10" t="s">
        <v>99</v>
      </c>
      <c r="E15" s="10">
        <v>1</v>
      </c>
      <c r="F15" s="10">
        <v>5</v>
      </c>
      <c r="G15" s="101">
        <v>44785</v>
      </c>
      <c r="H15" s="101">
        <v>44851</v>
      </c>
      <c r="I15" s="10">
        <v>1000</v>
      </c>
      <c r="J15" s="10">
        <v>54</v>
      </c>
      <c r="K15" s="10">
        <v>20</v>
      </c>
      <c r="M15" s="102">
        <v>5.4</v>
      </c>
      <c r="N15" s="102">
        <v>5.1822910985984088</v>
      </c>
      <c r="O15" s="102"/>
      <c r="P15" s="102">
        <f>(N15)/($O$3)</f>
        <v>1.9370804224715548</v>
      </c>
      <c r="Q15" s="103">
        <f>((J15)+(J16)+(J17))/((I15)+(I16)+(I17))*100</f>
        <v>5.1849405548216643</v>
      </c>
      <c r="R15" s="103">
        <f>100-(Q15)</f>
        <v>94.815059445178335</v>
      </c>
      <c r="S15" s="10">
        <v>996</v>
      </c>
      <c r="T15" s="10">
        <v>34</v>
      </c>
      <c r="V15" s="102">
        <v>3.4136546179999998</v>
      </c>
      <c r="W15" s="102">
        <f>GEOMEAN(V15:V17)</f>
        <v>2.6341805774080012</v>
      </c>
      <c r="X15" s="10">
        <v>0</v>
      </c>
      <c r="Y15" s="1">
        <v>1</v>
      </c>
      <c r="Z15" s="10">
        <v>7.4</v>
      </c>
      <c r="AA15" s="10">
        <v>0</v>
      </c>
      <c r="AB15" s="10">
        <v>1</v>
      </c>
      <c r="AC15" s="10">
        <v>1</v>
      </c>
      <c r="AD15" s="10">
        <v>0</v>
      </c>
      <c r="AE15" s="10">
        <v>1</v>
      </c>
      <c r="AF15" s="10">
        <v>1</v>
      </c>
      <c r="AG15" s="10">
        <v>1966</v>
      </c>
      <c r="AH15" s="10">
        <v>0.06</v>
      </c>
      <c r="AI15" s="10">
        <v>0</v>
      </c>
      <c r="AJ15" s="10">
        <v>1110</v>
      </c>
      <c r="AK15" s="104">
        <v>4.4400000000000002E-2</v>
      </c>
      <c r="AL15" s="10">
        <v>0</v>
      </c>
    </row>
    <row r="16" spans="1:38" x14ac:dyDescent="0.3">
      <c r="C16" s="101">
        <v>44784</v>
      </c>
      <c r="E16" s="10">
        <v>2</v>
      </c>
      <c r="F16" s="10">
        <v>5</v>
      </c>
      <c r="G16" s="101">
        <v>44785</v>
      </c>
      <c r="H16" s="101">
        <v>44851</v>
      </c>
      <c r="I16" s="10">
        <v>1016</v>
      </c>
      <c r="J16" s="10">
        <v>53</v>
      </c>
      <c r="K16" s="10">
        <v>31</v>
      </c>
      <c r="M16" s="102">
        <v>5.2165354330708658</v>
      </c>
      <c r="N16" s="102"/>
      <c r="O16" s="102"/>
      <c r="P16" s="102"/>
      <c r="Q16" s="103"/>
      <c r="R16" s="102"/>
      <c r="S16" s="10">
        <v>1059</v>
      </c>
      <c r="T16" s="10">
        <v>29</v>
      </c>
      <c r="V16" s="102">
        <v>2.738432483</v>
      </c>
      <c r="Y16" s="1">
        <v>1</v>
      </c>
      <c r="AJ16" s="10">
        <v>1110</v>
      </c>
      <c r="AK16" s="104"/>
    </row>
    <row r="17" spans="1:38" x14ac:dyDescent="0.3">
      <c r="C17" s="101">
        <v>44784</v>
      </c>
      <c r="E17" s="10">
        <v>3</v>
      </c>
      <c r="F17" s="10">
        <v>5</v>
      </c>
      <c r="G17" s="101">
        <v>44785</v>
      </c>
      <c r="H17" s="101">
        <v>44851</v>
      </c>
      <c r="I17" s="10">
        <v>1012</v>
      </c>
      <c r="J17" s="10">
        <v>50</v>
      </c>
      <c r="K17" s="10">
        <v>26</v>
      </c>
      <c r="M17" s="102">
        <v>4.9407114624505928</v>
      </c>
      <c r="N17" s="102"/>
      <c r="O17" s="102"/>
      <c r="P17" s="102"/>
      <c r="Q17" s="103"/>
      <c r="R17" s="102"/>
      <c r="S17" s="10">
        <v>716</v>
      </c>
      <c r="T17" s="10">
        <v>14</v>
      </c>
      <c r="V17" s="102">
        <v>1.9553072629999999</v>
      </c>
      <c r="Y17" s="1">
        <v>1</v>
      </c>
      <c r="AJ17" s="10">
        <v>1110</v>
      </c>
      <c r="AK17" s="104"/>
    </row>
    <row r="18" spans="1:38" x14ac:dyDescent="0.3">
      <c r="A18" s="10">
        <v>6</v>
      </c>
      <c r="B18" s="10">
        <v>5</v>
      </c>
      <c r="C18" s="101">
        <v>44792</v>
      </c>
      <c r="D18" s="10" t="s">
        <v>99</v>
      </c>
      <c r="E18" s="10">
        <v>1</v>
      </c>
      <c r="F18" s="10">
        <v>6</v>
      </c>
      <c r="G18" s="101">
        <v>44793</v>
      </c>
      <c r="H18" s="10" t="s">
        <v>332</v>
      </c>
      <c r="I18" s="10">
        <v>1012</v>
      </c>
      <c r="J18" s="10">
        <v>188</v>
      </c>
      <c r="K18" s="10">
        <v>58</v>
      </c>
      <c r="L18" s="10" t="s">
        <v>99</v>
      </c>
      <c r="M18" s="102">
        <v>18.57707509881423</v>
      </c>
      <c r="N18" s="102">
        <v>33.163404194369299</v>
      </c>
      <c r="O18" s="102"/>
      <c r="P18" s="102">
        <f>(N18)/($O$3)</f>
        <v>12.396096588398532</v>
      </c>
      <c r="Q18" s="103">
        <f>((J18)+(J19)+(J20))/((I18)+(I19)+(I20))*100</f>
        <v>37.252311756935271</v>
      </c>
      <c r="R18" s="103">
        <f>100-(Q18)</f>
        <v>62.747688243064729</v>
      </c>
      <c r="W18" s="102"/>
      <c r="X18" s="10">
        <v>0</v>
      </c>
      <c r="Y18" s="1">
        <v>2</v>
      </c>
      <c r="Z18" s="102">
        <v>8.5</v>
      </c>
      <c r="AA18" s="10">
        <v>1</v>
      </c>
      <c r="AB18" s="10">
        <v>1</v>
      </c>
      <c r="AC18" s="10">
        <v>1</v>
      </c>
      <c r="AD18" s="10">
        <v>1</v>
      </c>
      <c r="AE18" s="10">
        <v>1</v>
      </c>
      <c r="AF18" s="10">
        <v>1</v>
      </c>
      <c r="AG18" s="10">
        <v>40310</v>
      </c>
      <c r="AH18" s="10">
        <v>0.8</v>
      </c>
      <c r="AI18" s="10">
        <v>0</v>
      </c>
      <c r="AJ18" s="10">
        <v>87894</v>
      </c>
      <c r="AK18" s="104">
        <v>0.75788</v>
      </c>
      <c r="AL18" s="10">
        <v>0</v>
      </c>
    </row>
    <row r="19" spans="1:38" x14ac:dyDescent="0.3">
      <c r="C19" s="101">
        <v>44792</v>
      </c>
      <c r="E19" s="10">
        <v>2</v>
      </c>
      <c r="F19" s="10">
        <v>6</v>
      </c>
      <c r="G19" s="101">
        <v>44793</v>
      </c>
      <c r="H19" s="10" t="s">
        <v>332</v>
      </c>
      <c r="I19" s="10">
        <v>1009</v>
      </c>
      <c r="J19" s="10">
        <v>330</v>
      </c>
      <c r="K19" s="10">
        <v>90</v>
      </c>
      <c r="L19" s="10" t="s">
        <v>99</v>
      </c>
      <c r="M19" s="102">
        <v>32.70564915758176</v>
      </c>
      <c r="N19" s="102"/>
      <c r="O19" s="102"/>
      <c r="P19" s="102"/>
      <c r="Q19" s="103"/>
      <c r="R19" s="102"/>
      <c r="W19" s="102"/>
      <c r="Y19" s="1">
        <v>2</v>
      </c>
      <c r="Z19" s="102"/>
      <c r="AJ19" s="10">
        <v>87894</v>
      </c>
      <c r="AK19" s="104"/>
    </row>
    <row r="20" spans="1:38" x14ac:dyDescent="0.3">
      <c r="C20" s="101">
        <v>44792</v>
      </c>
      <c r="E20" s="10">
        <v>3</v>
      </c>
      <c r="F20" s="10">
        <v>6</v>
      </c>
      <c r="G20" s="101">
        <v>44793</v>
      </c>
      <c r="H20" s="10" t="s">
        <v>332</v>
      </c>
      <c r="I20" s="10">
        <v>1007</v>
      </c>
      <c r="J20" s="10">
        <v>610</v>
      </c>
      <c r="K20" s="10">
        <v>105</v>
      </c>
      <c r="L20" s="10" t="s">
        <v>99</v>
      </c>
      <c r="M20" s="102">
        <v>60.575968222442903</v>
      </c>
      <c r="N20" s="102"/>
      <c r="O20" s="102"/>
      <c r="P20" s="102"/>
      <c r="Q20" s="103"/>
      <c r="R20" s="102"/>
      <c r="W20" s="102"/>
      <c r="Y20" s="1">
        <v>2</v>
      </c>
      <c r="Z20" s="102"/>
      <c r="AJ20" s="10">
        <v>87894</v>
      </c>
      <c r="AK20" s="104"/>
    </row>
    <row r="21" spans="1:38" x14ac:dyDescent="0.3">
      <c r="A21" s="10">
        <v>7</v>
      </c>
      <c r="B21" s="10">
        <v>16</v>
      </c>
      <c r="C21" s="101">
        <v>44830</v>
      </c>
      <c r="D21" s="10" t="s">
        <v>101</v>
      </c>
      <c r="E21" s="10">
        <v>1</v>
      </c>
      <c r="F21" s="10">
        <v>7</v>
      </c>
      <c r="G21" s="101">
        <v>44831</v>
      </c>
      <c r="H21" s="101">
        <v>44915</v>
      </c>
      <c r="I21" s="10">
        <v>1008</v>
      </c>
      <c r="J21" s="10">
        <v>52</v>
      </c>
      <c r="K21" s="10">
        <v>25</v>
      </c>
      <c r="M21" s="102">
        <v>5.1587301587301599</v>
      </c>
      <c r="N21" s="102">
        <v>4.3407190980432997</v>
      </c>
      <c r="O21" s="102"/>
      <c r="P21" s="102"/>
      <c r="Q21" s="103">
        <f>((J21)+(J22)+(J23))/((I21)+(I22)+(I23))*100</f>
        <v>4.3574360593621719</v>
      </c>
      <c r="R21" s="103">
        <f>100-(Q21)</f>
        <v>95.642563940637828</v>
      </c>
      <c r="W21" s="102"/>
      <c r="X21" s="10">
        <v>0</v>
      </c>
      <c r="Y21" s="1">
        <v>0</v>
      </c>
      <c r="Z21" s="10">
        <v>10.7</v>
      </c>
      <c r="AA21" s="10">
        <v>1</v>
      </c>
      <c r="AB21" s="10">
        <v>2</v>
      </c>
      <c r="AC21" s="10">
        <v>1</v>
      </c>
      <c r="AD21" s="10">
        <v>0</v>
      </c>
      <c r="AE21" s="10">
        <v>1</v>
      </c>
      <c r="AF21" s="10">
        <v>1</v>
      </c>
      <c r="AG21" s="10">
        <v>7333</v>
      </c>
      <c r="AH21" s="10">
        <v>0.1</v>
      </c>
      <c r="AI21" s="10">
        <v>0</v>
      </c>
      <c r="AJ21" s="10">
        <v>7334</v>
      </c>
      <c r="AK21" s="104">
        <v>0.34667999999999999</v>
      </c>
      <c r="AL21" s="10">
        <v>0</v>
      </c>
    </row>
    <row r="22" spans="1:38" x14ac:dyDescent="0.3">
      <c r="C22" s="101">
        <v>44830</v>
      </c>
      <c r="E22" s="10">
        <v>2</v>
      </c>
      <c r="F22" s="10">
        <v>7</v>
      </c>
      <c r="G22" s="101">
        <v>44831</v>
      </c>
      <c r="H22" s="101">
        <v>44915</v>
      </c>
      <c r="I22" s="10">
        <v>1057</v>
      </c>
      <c r="J22" s="10">
        <v>44</v>
      </c>
      <c r="K22" s="10">
        <v>22</v>
      </c>
      <c r="M22" s="102">
        <v>4.1627246925260177</v>
      </c>
      <c r="N22" s="102"/>
      <c r="O22" s="102"/>
      <c r="P22" s="102"/>
      <c r="Q22" s="103"/>
      <c r="R22" s="102"/>
      <c r="W22" s="102"/>
      <c r="Y22" s="1">
        <v>0</v>
      </c>
      <c r="AJ22" s="10">
        <v>7334</v>
      </c>
      <c r="AK22" s="104"/>
    </row>
    <row r="23" spans="1:38" x14ac:dyDescent="0.3">
      <c r="C23" s="101">
        <v>44830</v>
      </c>
      <c r="E23" s="10">
        <v>3</v>
      </c>
      <c r="F23" s="10">
        <v>7</v>
      </c>
      <c r="G23" s="101">
        <v>44831</v>
      </c>
      <c r="H23" s="101">
        <v>44915</v>
      </c>
      <c r="I23" s="10">
        <v>1102</v>
      </c>
      <c r="J23" s="10">
        <v>42</v>
      </c>
      <c r="K23" s="10">
        <v>24</v>
      </c>
      <c r="M23" s="102">
        <v>3.8112522686025407</v>
      </c>
      <c r="N23" s="102"/>
      <c r="O23" s="102"/>
      <c r="P23" s="102"/>
      <c r="Q23" s="103"/>
      <c r="R23" s="102"/>
      <c r="W23" s="102"/>
      <c r="Y23" s="1">
        <v>0</v>
      </c>
      <c r="AJ23" s="10">
        <v>7334</v>
      </c>
      <c r="AK23" s="104"/>
    </row>
    <row r="24" spans="1:38" x14ac:dyDescent="0.3">
      <c r="A24" s="10">
        <v>8</v>
      </c>
      <c r="B24" s="10">
        <v>16</v>
      </c>
      <c r="C24" s="101">
        <v>44830</v>
      </c>
      <c r="D24" s="10" t="s">
        <v>101</v>
      </c>
      <c r="E24" s="10">
        <v>1</v>
      </c>
      <c r="F24" s="10">
        <v>8</v>
      </c>
      <c r="G24" s="101">
        <v>44831</v>
      </c>
      <c r="H24" s="101">
        <v>44931</v>
      </c>
      <c r="I24" s="10">
        <v>1031</v>
      </c>
      <c r="J24" s="10">
        <v>12</v>
      </c>
      <c r="K24" s="10">
        <v>12</v>
      </c>
      <c r="L24" s="10" t="s">
        <v>99</v>
      </c>
      <c r="M24" s="102">
        <v>1.1639185257032008</v>
      </c>
      <c r="N24" s="102">
        <v>1.2159670861533347</v>
      </c>
      <c r="O24" s="102"/>
      <c r="P24" s="102"/>
      <c r="Q24" s="103">
        <f>((J24)+(J25)+(J26))/((I24)+(I25)+(I26))*100</f>
        <v>1.2191209496310556</v>
      </c>
      <c r="R24" s="103">
        <f>100-(Q24)</f>
        <v>98.780879050368938</v>
      </c>
      <c r="W24" s="102"/>
      <c r="X24" s="10">
        <v>0</v>
      </c>
      <c r="Y24" s="1">
        <v>0</v>
      </c>
      <c r="Z24" s="10">
        <v>6</v>
      </c>
      <c r="AA24" s="10">
        <v>1</v>
      </c>
      <c r="AB24" s="10">
        <v>2</v>
      </c>
      <c r="AC24" s="10">
        <v>1</v>
      </c>
      <c r="AD24" s="10">
        <v>1</v>
      </c>
      <c r="AE24" s="10">
        <v>1</v>
      </c>
      <c r="AF24" s="10">
        <v>1</v>
      </c>
      <c r="AG24" s="10">
        <v>3098</v>
      </c>
      <c r="AH24" s="10">
        <v>0.3</v>
      </c>
      <c r="AI24" s="10">
        <v>0</v>
      </c>
      <c r="AJ24" s="10">
        <v>55043</v>
      </c>
      <c r="AK24" s="104">
        <v>1.8600000000000001E-3</v>
      </c>
      <c r="AL24" s="10">
        <v>0</v>
      </c>
    </row>
    <row r="25" spans="1:38" x14ac:dyDescent="0.3">
      <c r="C25" s="101">
        <v>44830</v>
      </c>
      <c r="E25" s="10">
        <v>2</v>
      </c>
      <c r="F25" s="10">
        <v>8</v>
      </c>
      <c r="G25" s="101">
        <v>44831</v>
      </c>
      <c r="H25" s="101">
        <v>44931</v>
      </c>
      <c r="I25" s="10">
        <v>1027</v>
      </c>
      <c r="J25" s="10">
        <v>12</v>
      </c>
      <c r="K25" s="10">
        <v>15</v>
      </c>
      <c r="L25" s="10" t="s">
        <v>99</v>
      </c>
      <c r="M25" s="102">
        <v>1.1684518013631937</v>
      </c>
      <c r="N25" s="102"/>
      <c r="O25" s="102"/>
      <c r="P25" s="102"/>
      <c r="Q25" s="103"/>
      <c r="R25" s="102"/>
      <c r="W25" s="102"/>
      <c r="Y25" s="1">
        <v>0</v>
      </c>
      <c r="AJ25" s="10">
        <v>55043</v>
      </c>
      <c r="AK25" s="104"/>
    </row>
    <row r="26" spans="1:38" x14ac:dyDescent="0.3">
      <c r="C26" s="101">
        <v>44830</v>
      </c>
      <c r="E26" s="10">
        <v>3</v>
      </c>
      <c r="F26" s="10">
        <v>8</v>
      </c>
      <c r="G26" s="101">
        <v>44831</v>
      </c>
      <c r="H26" s="101">
        <v>44931</v>
      </c>
      <c r="I26" s="10">
        <v>1059</v>
      </c>
      <c r="J26" s="10">
        <v>14</v>
      </c>
      <c r="K26" s="10">
        <v>10</v>
      </c>
      <c r="L26" s="10" t="s">
        <v>99</v>
      </c>
      <c r="M26" s="102">
        <v>1.3220018885741265</v>
      </c>
      <c r="N26" s="102"/>
      <c r="O26" s="102"/>
      <c r="P26" s="102"/>
      <c r="Q26" s="103"/>
      <c r="R26" s="102"/>
      <c r="W26" s="102"/>
      <c r="Y26" s="1">
        <v>0</v>
      </c>
      <c r="AJ26" s="10">
        <v>55043</v>
      </c>
      <c r="AK26" s="104"/>
    </row>
    <row r="27" spans="1:38" ht="43.2" x14ac:dyDescent="0.3">
      <c r="A27" s="10">
        <v>9</v>
      </c>
      <c r="B27" s="10">
        <v>8</v>
      </c>
      <c r="C27" s="101">
        <v>44802</v>
      </c>
      <c r="D27" s="10" t="s">
        <v>101</v>
      </c>
      <c r="E27" s="10">
        <v>1</v>
      </c>
      <c r="F27" s="10">
        <v>9</v>
      </c>
      <c r="G27" s="101">
        <v>44803</v>
      </c>
      <c r="H27" s="105" t="s">
        <v>333</v>
      </c>
      <c r="I27" s="10">
        <v>1000</v>
      </c>
      <c r="J27" s="10">
        <v>259</v>
      </c>
      <c r="K27" s="10">
        <v>376</v>
      </c>
      <c r="L27" s="10" t="s">
        <v>99</v>
      </c>
      <c r="M27" s="102">
        <v>25.900000000000002</v>
      </c>
      <c r="N27" s="102">
        <v>20.211265965693133</v>
      </c>
      <c r="O27" s="102"/>
      <c r="P27" s="102">
        <f>(N27)/($O$3)</f>
        <v>7.5547372524284606</v>
      </c>
      <c r="Q27" s="103">
        <f>((J27)+(J28)+(J29))/((I27)+(I28)+(I29))*100</f>
        <v>20.552964690206529</v>
      </c>
      <c r="R27" s="103">
        <f>100-(Q27)</f>
        <v>79.447035309793478</v>
      </c>
      <c r="W27" s="102"/>
      <c r="X27" s="10">
        <v>0</v>
      </c>
      <c r="Y27" s="1">
        <v>2</v>
      </c>
      <c r="Z27" s="102">
        <v>7.3</v>
      </c>
      <c r="AA27" s="10">
        <v>0</v>
      </c>
      <c r="AB27" s="10">
        <v>2</v>
      </c>
      <c r="AC27" s="10">
        <v>1</v>
      </c>
      <c r="AD27" s="10">
        <v>1</v>
      </c>
      <c r="AE27" s="10">
        <v>1</v>
      </c>
      <c r="AF27" s="10">
        <v>1</v>
      </c>
      <c r="AG27" s="10">
        <v>3037</v>
      </c>
      <c r="AH27" s="10">
        <v>0.06</v>
      </c>
      <c r="AI27" s="10">
        <v>78</v>
      </c>
      <c r="AJ27" s="10">
        <v>3931</v>
      </c>
      <c r="AK27" s="104">
        <v>7.8640000000000002E-2</v>
      </c>
      <c r="AL27" s="10">
        <v>0</v>
      </c>
    </row>
    <row r="28" spans="1:38" ht="43.2" x14ac:dyDescent="0.3">
      <c r="C28" s="101">
        <v>44802</v>
      </c>
      <c r="E28" s="10">
        <v>2</v>
      </c>
      <c r="F28" s="10">
        <v>9</v>
      </c>
      <c r="G28" s="101">
        <v>44803</v>
      </c>
      <c r="H28" s="105" t="s">
        <v>333</v>
      </c>
      <c r="I28" s="10">
        <v>1000</v>
      </c>
      <c r="J28" s="10">
        <v>169</v>
      </c>
      <c r="K28" s="10">
        <v>241</v>
      </c>
      <c r="L28" s="10" t="s">
        <v>99</v>
      </c>
      <c r="M28" s="102">
        <v>16.900000000000002</v>
      </c>
      <c r="N28" s="102"/>
      <c r="O28" s="102"/>
      <c r="P28" s="102"/>
      <c r="Q28" s="103"/>
      <c r="R28" s="102"/>
      <c r="W28" s="102"/>
      <c r="Y28" s="1">
        <v>2</v>
      </c>
      <c r="Z28" s="102"/>
      <c r="AJ28" s="10">
        <v>3931</v>
      </c>
      <c r="AK28" s="104"/>
    </row>
    <row r="29" spans="1:38" ht="43.2" x14ac:dyDescent="0.3">
      <c r="C29" s="101">
        <v>44802</v>
      </c>
      <c r="E29" s="10">
        <v>3</v>
      </c>
      <c r="F29" s="10">
        <v>9</v>
      </c>
      <c r="G29" s="101">
        <v>44803</v>
      </c>
      <c r="H29" s="105" t="s">
        <v>333</v>
      </c>
      <c r="I29" s="10">
        <v>1002</v>
      </c>
      <c r="J29" s="10">
        <v>189</v>
      </c>
      <c r="K29" s="10">
        <v>217</v>
      </c>
      <c r="L29" s="10" t="s">
        <v>99</v>
      </c>
      <c r="M29" s="102">
        <v>18.862275449101794</v>
      </c>
      <c r="N29" s="102"/>
      <c r="O29" s="102"/>
      <c r="P29" s="102"/>
      <c r="Q29" s="103"/>
      <c r="R29" s="102"/>
      <c r="W29" s="102"/>
      <c r="Y29" s="1">
        <v>2</v>
      </c>
      <c r="Z29" s="102"/>
      <c r="AJ29" s="10">
        <v>3931</v>
      </c>
      <c r="AK29" s="104"/>
    </row>
    <row r="30" spans="1:38" x14ac:dyDescent="0.3">
      <c r="A30" s="10">
        <v>10</v>
      </c>
      <c r="B30" s="10">
        <v>9</v>
      </c>
      <c r="C30" s="101">
        <v>44806</v>
      </c>
      <c r="D30" s="10" t="s">
        <v>101</v>
      </c>
      <c r="E30" s="10">
        <v>1</v>
      </c>
      <c r="F30" s="10">
        <v>10</v>
      </c>
      <c r="G30" s="101">
        <v>44806</v>
      </c>
      <c r="H30" s="101">
        <v>44865</v>
      </c>
      <c r="I30" s="10">
        <v>1021</v>
      </c>
      <c r="J30" s="10">
        <v>11</v>
      </c>
      <c r="K30" s="10">
        <v>15</v>
      </c>
      <c r="M30" s="102">
        <v>1.0773751224289911</v>
      </c>
      <c r="N30" s="102">
        <v>1.2351635771778158</v>
      </c>
      <c r="O30" s="102"/>
      <c r="P30" s="102"/>
      <c r="Q30" s="103">
        <f>((J30)+(J31)+(J32))/((I30)+(I31)+(I32))*100</f>
        <v>1.2459016393442623</v>
      </c>
      <c r="R30" s="103">
        <f>100-(Q30)</f>
        <v>98.754098360655732</v>
      </c>
      <c r="W30" s="102"/>
      <c r="X30" s="10">
        <v>0</v>
      </c>
      <c r="Y30" s="1">
        <v>1</v>
      </c>
      <c r="Z30" s="102">
        <v>10.4</v>
      </c>
      <c r="AA30" s="10">
        <v>1</v>
      </c>
      <c r="AB30" s="10">
        <v>2</v>
      </c>
      <c r="AC30" s="10">
        <v>1</v>
      </c>
      <c r="AD30" s="10">
        <v>1</v>
      </c>
      <c r="AE30" s="10">
        <v>1</v>
      </c>
      <c r="AF30" s="10">
        <v>1</v>
      </c>
      <c r="AG30" s="10">
        <v>6190</v>
      </c>
      <c r="AH30" s="10">
        <v>0.03</v>
      </c>
      <c r="AI30" s="10">
        <v>0</v>
      </c>
      <c r="AJ30" s="10">
        <v>3105</v>
      </c>
      <c r="AK30" s="104">
        <v>0.16400000000000001</v>
      </c>
      <c r="AL30" s="10">
        <v>0</v>
      </c>
    </row>
    <row r="31" spans="1:38" x14ac:dyDescent="0.3">
      <c r="C31" s="101">
        <v>44806</v>
      </c>
      <c r="E31" s="10">
        <v>2</v>
      </c>
      <c r="F31" s="10">
        <v>10</v>
      </c>
      <c r="G31" s="101">
        <v>44806</v>
      </c>
      <c r="H31" s="101">
        <v>44865</v>
      </c>
      <c r="I31" s="10">
        <v>1024</v>
      </c>
      <c r="J31" s="10">
        <v>12</v>
      </c>
      <c r="K31" s="10">
        <v>18</v>
      </c>
      <c r="M31" s="102">
        <v>1.171875</v>
      </c>
      <c r="N31" s="102"/>
      <c r="O31" s="102"/>
      <c r="P31" s="102"/>
      <c r="Q31" s="103"/>
      <c r="R31" s="102"/>
      <c r="W31" s="102"/>
      <c r="Y31" s="1">
        <v>1</v>
      </c>
      <c r="Z31" s="102"/>
      <c r="AJ31" s="10">
        <v>3105</v>
      </c>
      <c r="AK31" s="104"/>
    </row>
    <row r="32" spans="1:38" x14ac:dyDescent="0.3">
      <c r="C32" s="101">
        <v>44806</v>
      </c>
      <c r="E32" s="10">
        <v>3</v>
      </c>
      <c r="F32" s="10">
        <v>10</v>
      </c>
      <c r="G32" s="101">
        <v>44806</v>
      </c>
      <c r="H32" s="101">
        <v>44865</v>
      </c>
      <c r="I32" s="10">
        <v>1005</v>
      </c>
      <c r="J32" s="10">
        <v>15</v>
      </c>
      <c r="K32" s="10">
        <v>15</v>
      </c>
      <c r="M32" s="102">
        <v>1.4925373134328357</v>
      </c>
      <c r="N32" s="102"/>
      <c r="O32" s="102"/>
      <c r="P32" s="102"/>
      <c r="Q32" s="103"/>
      <c r="R32" s="102"/>
      <c r="W32" s="102"/>
      <c r="Y32" s="1">
        <v>1</v>
      </c>
      <c r="Z32" s="102"/>
      <c r="AJ32" s="10">
        <v>3105</v>
      </c>
      <c r="AK32" s="104"/>
    </row>
    <row r="33" spans="1:38" x14ac:dyDescent="0.3">
      <c r="A33" s="10">
        <v>11</v>
      </c>
      <c r="B33" s="10">
        <v>16</v>
      </c>
      <c r="C33" s="101">
        <v>44830</v>
      </c>
      <c r="D33" s="10" t="s">
        <v>101</v>
      </c>
      <c r="E33" s="10">
        <v>1</v>
      </c>
      <c r="F33" s="10">
        <v>11</v>
      </c>
      <c r="G33" s="101">
        <v>44831</v>
      </c>
      <c r="H33" s="10" t="s">
        <v>334</v>
      </c>
      <c r="I33" s="10">
        <v>1015</v>
      </c>
      <c r="J33" s="10">
        <v>36</v>
      </c>
      <c r="K33" s="10">
        <v>71</v>
      </c>
      <c r="L33" s="10" t="s">
        <v>99</v>
      </c>
      <c r="M33" s="102">
        <v>3.5467980295566504</v>
      </c>
      <c r="N33" s="102">
        <v>2.9017238963981939</v>
      </c>
      <c r="O33" s="102"/>
      <c r="P33" s="102"/>
      <c r="Q33" s="103">
        <f>((J33)+(J34)+(J35))/((I33)+(I34)+(I35))*100</f>
        <v>2.9791459781529297</v>
      </c>
      <c r="R33" s="103">
        <f>100-(Q33)</f>
        <v>97.020854021847072</v>
      </c>
      <c r="W33" s="102"/>
      <c r="X33" s="10">
        <v>0</v>
      </c>
      <c r="Y33" s="1">
        <v>0</v>
      </c>
      <c r="Z33" s="10">
        <v>4.9000000000000004</v>
      </c>
      <c r="AA33" s="10">
        <v>0</v>
      </c>
      <c r="AB33" s="10">
        <v>2</v>
      </c>
      <c r="AC33" s="10">
        <v>1</v>
      </c>
      <c r="AD33" s="10">
        <v>1</v>
      </c>
      <c r="AE33" s="10">
        <v>1</v>
      </c>
      <c r="AF33" s="10">
        <v>1</v>
      </c>
      <c r="AG33" s="10">
        <v>1450</v>
      </c>
      <c r="AH33" s="10">
        <v>0.05</v>
      </c>
      <c r="AI33" s="10">
        <v>0</v>
      </c>
      <c r="AJ33" s="10">
        <v>4034</v>
      </c>
      <c r="AK33" s="104">
        <v>8.0680000000000002E-2</v>
      </c>
      <c r="AL33" s="10">
        <v>0</v>
      </c>
    </row>
    <row r="34" spans="1:38" x14ac:dyDescent="0.3">
      <c r="C34" s="101">
        <v>44830</v>
      </c>
      <c r="E34" s="10">
        <v>2</v>
      </c>
      <c r="F34" s="10">
        <v>11</v>
      </c>
      <c r="G34" s="101">
        <v>44831</v>
      </c>
      <c r="H34" s="10" t="s">
        <v>334</v>
      </c>
      <c r="I34" s="10">
        <v>1002</v>
      </c>
      <c r="J34" s="10">
        <v>33</v>
      </c>
      <c r="K34" s="10">
        <v>77</v>
      </c>
      <c r="L34" s="10" t="s">
        <v>99</v>
      </c>
      <c r="M34" s="102">
        <v>3.293413173652695</v>
      </c>
      <c r="N34" s="102"/>
      <c r="O34" s="102"/>
      <c r="P34" s="102"/>
      <c r="Q34" s="103"/>
      <c r="R34" s="102"/>
      <c r="W34" s="102"/>
      <c r="Y34" s="1">
        <v>0</v>
      </c>
      <c r="AJ34" s="10">
        <v>4034</v>
      </c>
      <c r="AK34" s="104"/>
    </row>
    <row r="35" spans="1:38" x14ac:dyDescent="0.3">
      <c r="C35" s="101">
        <v>44830</v>
      </c>
      <c r="E35" s="10">
        <v>3</v>
      </c>
      <c r="F35" s="10">
        <v>11</v>
      </c>
      <c r="G35" s="101">
        <v>44831</v>
      </c>
      <c r="H35" s="10" t="s">
        <v>334</v>
      </c>
      <c r="I35" s="10">
        <v>1004</v>
      </c>
      <c r="J35" s="10">
        <v>21</v>
      </c>
      <c r="K35" s="10">
        <v>89</v>
      </c>
      <c r="L35" s="10" t="s">
        <v>99</v>
      </c>
      <c r="M35" s="102">
        <v>2.0916334661354581</v>
      </c>
      <c r="N35" s="102"/>
      <c r="O35" s="102"/>
      <c r="P35" s="102"/>
      <c r="Q35" s="103"/>
      <c r="R35" s="102"/>
      <c r="W35" s="102"/>
      <c r="Y35" s="1">
        <v>0</v>
      </c>
      <c r="AJ35" s="10">
        <v>4034</v>
      </c>
      <c r="AK35" s="104"/>
    </row>
    <row r="36" spans="1:38" x14ac:dyDescent="0.3">
      <c r="A36" s="10">
        <v>12</v>
      </c>
      <c r="B36" s="10">
        <v>9</v>
      </c>
      <c r="C36" s="101">
        <v>44806</v>
      </c>
      <c r="D36" s="10" t="s">
        <v>101</v>
      </c>
      <c r="E36" s="10">
        <v>1</v>
      </c>
      <c r="F36" s="10">
        <v>12</v>
      </c>
      <c r="G36" s="101">
        <v>44806</v>
      </c>
      <c r="H36" s="101">
        <v>44603</v>
      </c>
      <c r="I36" s="10">
        <v>1041</v>
      </c>
      <c r="J36" s="10">
        <v>81</v>
      </c>
      <c r="K36" s="10">
        <v>13</v>
      </c>
      <c r="M36" s="102">
        <v>7.7809798270893378</v>
      </c>
      <c r="N36" s="102">
        <v>7.0124746080130711</v>
      </c>
      <c r="O36" s="102"/>
      <c r="P36" s="102">
        <f>(N36)/($O$3)</f>
        <v>2.6211818320925344</v>
      </c>
      <c r="Q36" s="103">
        <f>((J36)+(J37)+(J38))/((I36)+(I37)+(I38))*100</f>
        <v>7.0490227491188717</v>
      </c>
      <c r="R36" s="103">
        <f>100-(Q36)</f>
        <v>92.950977250881124</v>
      </c>
      <c r="W36" s="102"/>
      <c r="X36" s="10">
        <v>0</v>
      </c>
      <c r="Y36" s="1">
        <v>1</v>
      </c>
      <c r="Z36" s="10">
        <v>8</v>
      </c>
      <c r="AA36" s="10">
        <v>0</v>
      </c>
      <c r="AB36" s="10">
        <v>2</v>
      </c>
      <c r="AC36" s="10">
        <v>1</v>
      </c>
      <c r="AD36" s="10">
        <v>1</v>
      </c>
      <c r="AE36" s="10">
        <v>1</v>
      </c>
      <c r="AF36" s="10">
        <v>1</v>
      </c>
      <c r="AG36" s="10">
        <v>7630</v>
      </c>
      <c r="AH36" s="10">
        <v>0.4</v>
      </c>
      <c r="AI36" s="10">
        <v>0</v>
      </c>
      <c r="AJ36" s="10">
        <v>10360</v>
      </c>
      <c r="AK36" s="104">
        <v>0.40711000000000003</v>
      </c>
      <c r="AL36" s="10">
        <v>0</v>
      </c>
    </row>
    <row r="37" spans="1:38" x14ac:dyDescent="0.3">
      <c r="C37" s="101">
        <v>44806</v>
      </c>
      <c r="E37" s="10">
        <v>2</v>
      </c>
      <c r="F37" s="10">
        <v>12</v>
      </c>
      <c r="G37" s="101">
        <v>44806</v>
      </c>
      <c r="H37" s="101">
        <v>44603</v>
      </c>
      <c r="I37" s="10">
        <v>1005</v>
      </c>
      <c r="J37" s="10">
        <v>76</v>
      </c>
      <c r="K37" s="10">
        <v>16</v>
      </c>
      <c r="M37" s="102">
        <v>7.5621890547263675</v>
      </c>
      <c r="N37" s="102"/>
      <c r="O37" s="102"/>
      <c r="P37" s="102"/>
      <c r="Q37" s="103"/>
      <c r="R37" s="102"/>
      <c r="W37" s="102"/>
      <c r="Y37" s="1">
        <v>1</v>
      </c>
      <c r="AJ37" s="10">
        <v>10360</v>
      </c>
      <c r="AK37" s="104"/>
    </row>
    <row r="38" spans="1:38" x14ac:dyDescent="0.3">
      <c r="C38" s="101">
        <v>44806</v>
      </c>
      <c r="E38" s="10">
        <v>3</v>
      </c>
      <c r="F38" s="10">
        <v>12</v>
      </c>
      <c r="G38" s="101">
        <v>44806</v>
      </c>
      <c r="H38" s="101">
        <v>44603</v>
      </c>
      <c r="I38" s="10">
        <v>1075</v>
      </c>
      <c r="J38" s="10">
        <v>63</v>
      </c>
      <c r="K38" s="10">
        <v>9</v>
      </c>
      <c r="M38" s="102">
        <v>5.8604651162790695</v>
      </c>
      <c r="N38" s="102"/>
      <c r="O38" s="102"/>
      <c r="P38" s="102"/>
      <c r="Q38" s="103"/>
      <c r="R38" s="102"/>
      <c r="W38" s="102"/>
      <c r="Y38" s="1">
        <v>1</v>
      </c>
      <c r="AJ38" s="10">
        <v>10360</v>
      </c>
      <c r="AK38" s="104"/>
    </row>
    <row r="39" spans="1:38" x14ac:dyDescent="0.3">
      <c r="A39" s="10">
        <v>13</v>
      </c>
      <c r="B39" s="10">
        <v>10</v>
      </c>
      <c r="C39" s="101">
        <v>44809</v>
      </c>
      <c r="D39" s="10" t="s">
        <v>101</v>
      </c>
      <c r="E39" s="10">
        <v>1</v>
      </c>
      <c r="F39" s="10">
        <v>13</v>
      </c>
      <c r="G39" s="101">
        <v>44807</v>
      </c>
      <c r="H39" s="101">
        <v>44869</v>
      </c>
      <c r="I39" s="10">
        <v>1016</v>
      </c>
      <c r="J39" s="10">
        <v>65</v>
      </c>
      <c r="K39" s="10">
        <v>13</v>
      </c>
      <c r="M39" s="102">
        <v>6.3976377952755907</v>
      </c>
      <c r="N39" s="102">
        <v>7.7787662716868962</v>
      </c>
      <c r="O39" s="102"/>
      <c r="P39" s="102">
        <f>(N39)/($O$3)</f>
        <v>2.907612785384059</v>
      </c>
      <c r="Q39" s="103">
        <f>((J39)+(J40)+(J41))/((I39)+(I40)+(I41))*100</f>
        <v>7.8596947060733999</v>
      </c>
      <c r="R39" s="103">
        <f>100-(Q39)</f>
        <v>92.140305293926602</v>
      </c>
      <c r="W39" s="102"/>
      <c r="X39" s="10">
        <v>0</v>
      </c>
      <c r="Y39" s="1">
        <v>1</v>
      </c>
      <c r="Z39" s="10">
        <v>7.8</v>
      </c>
      <c r="AA39" s="10">
        <v>1</v>
      </c>
      <c r="AB39" s="10">
        <v>2</v>
      </c>
      <c r="AC39" s="10">
        <v>1</v>
      </c>
      <c r="AD39" s="10">
        <v>1</v>
      </c>
      <c r="AE39" s="10">
        <v>1</v>
      </c>
      <c r="AF39" s="10">
        <v>1</v>
      </c>
      <c r="AG39" s="10">
        <v>4538</v>
      </c>
      <c r="AH39" s="10">
        <v>0.3</v>
      </c>
      <c r="AI39" s="10">
        <v>0</v>
      </c>
      <c r="AJ39" s="10">
        <v>18838</v>
      </c>
      <c r="AK39" s="104">
        <v>0.57676000000000005</v>
      </c>
      <c r="AL39" s="10">
        <v>0</v>
      </c>
    </row>
    <row r="40" spans="1:38" x14ac:dyDescent="0.3">
      <c r="C40" s="101">
        <v>44809</v>
      </c>
      <c r="E40" s="10">
        <v>2</v>
      </c>
      <c r="F40" s="10">
        <v>13</v>
      </c>
      <c r="G40" s="101">
        <v>44807</v>
      </c>
      <c r="H40" s="101">
        <v>44869</v>
      </c>
      <c r="I40" s="10">
        <v>1015</v>
      </c>
      <c r="J40" s="10">
        <v>86</v>
      </c>
      <c r="K40" s="10">
        <v>20</v>
      </c>
      <c r="M40" s="102">
        <v>8.4729064039408879</v>
      </c>
      <c r="N40" s="102"/>
      <c r="O40" s="102"/>
      <c r="P40" s="102"/>
      <c r="Q40" s="103"/>
      <c r="R40" s="102"/>
      <c r="W40" s="102"/>
      <c r="Y40" s="1">
        <v>1</v>
      </c>
      <c r="AJ40" s="10">
        <v>18838</v>
      </c>
      <c r="AK40" s="104"/>
    </row>
    <row r="41" spans="1:38" x14ac:dyDescent="0.3">
      <c r="C41" s="101">
        <v>44809</v>
      </c>
      <c r="E41" s="10">
        <v>3</v>
      </c>
      <c r="F41" s="10">
        <v>13</v>
      </c>
      <c r="G41" s="101">
        <v>44807</v>
      </c>
      <c r="H41" s="101">
        <v>44869</v>
      </c>
      <c r="I41" s="10">
        <v>1048</v>
      </c>
      <c r="J41" s="10">
        <v>91</v>
      </c>
      <c r="K41" s="10">
        <v>17</v>
      </c>
      <c r="M41" s="102">
        <v>8.6832061068702302</v>
      </c>
      <c r="N41" s="102"/>
      <c r="O41" s="102"/>
      <c r="P41" s="102"/>
      <c r="Q41" s="103"/>
      <c r="R41" s="102"/>
      <c r="W41" s="102"/>
      <c r="Y41" s="1">
        <v>1</v>
      </c>
      <c r="AJ41" s="10">
        <v>18838</v>
      </c>
      <c r="AK41" s="104"/>
    </row>
    <row r="42" spans="1:38" x14ac:dyDescent="0.3">
      <c r="A42" s="10">
        <v>14</v>
      </c>
      <c r="B42" s="10">
        <v>9</v>
      </c>
      <c r="C42" s="101">
        <v>44806</v>
      </c>
      <c r="D42" s="10" t="s">
        <v>101</v>
      </c>
      <c r="E42" s="10">
        <v>1</v>
      </c>
      <c r="F42" s="10">
        <v>14</v>
      </c>
      <c r="G42" s="101">
        <v>44806</v>
      </c>
      <c r="H42" s="101">
        <v>44867</v>
      </c>
      <c r="I42" s="10">
        <v>1030</v>
      </c>
      <c r="J42" s="10">
        <v>22</v>
      </c>
      <c r="K42" s="10">
        <v>35</v>
      </c>
      <c r="M42" s="102">
        <v>2.1359223300970873</v>
      </c>
      <c r="N42" s="102">
        <v>2.4488965925397226</v>
      </c>
      <c r="O42" s="102"/>
      <c r="P42" s="102"/>
      <c r="Q42" s="103">
        <f>((J42)+(J43)+(J44))/((I42)+(I43)+(I44))*100</f>
        <v>2.5177533892834085</v>
      </c>
      <c r="R42" s="103">
        <f>100-(Q42)</f>
        <v>97.482246610716587</v>
      </c>
      <c r="W42" s="102"/>
      <c r="X42" s="10">
        <v>0</v>
      </c>
      <c r="Y42" s="1">
        <v>0</v>
      </c>
      <c r="Z42" s="102">
        <v>10</v>
      </c>
      <c r="AA42" s="10">
        <v>0</v>
      </c>
      <c r="AB42" s="10">
        <v>2</v>
      </c>
      <c r="AC42" s="10">
        <v>1</v>
      </c>
      <c r="AD42" s="10">
        <v>1</v>
      </c>
      <c r="AE42" s="10">
        <v>1</v>
      </c>
      <c r="AF42" s="10">
        <v>1</v>
      </c>
      <c r="AG42" s="10">
        <v>1376</v>
      </c>
      <c r="AH42" s="10">
        <v>0.05</v>
      </c>
      <c r="AI42" s="10">
        <v>0</v>
      </c>
      <c r="AJ42" s="10">
        <v>7007</v>
      </c>
      <c r="AK42" s="104">
        <v>4.1340000000000002E-2</v>
      </c>
      <c r="AL42" s="10">
        <v>0</v>
      </c>
    </row>
    <row r="43" spans="1:38" x14ac:dyDescent="0.3">
      <c r="C43" s="101">
        <v>44806</v>
      </c>
      <c r="E43" s="10">
        <v>2</v>
      </c>
      <c r="F43" s="10">
        <v>14</v>
      </c>
      <c r="G43" s="101">
        <v>44806</v>
      </c>
      <c r="H43" s="101">
        <v>44867</v>
      </c>
      <c r="I43" s="10">
        <v>1048</v>
      </c>
      <c r="J43" s="10">
        <v>35</v>
      </c>
      <c r="K43" s="10">
        <v>31</v>
      </c>
      <c r="M43" s="102">
        <v>3.3396946564885495</v>
      </c>
      <c r="N43" s="102"/>
      <c r="O43" s="102"/>
      <c r="P43" s="102"/>
      <c r="Q43" s="103"/>
      <c r="R43" s="102"/>
      <c r="W43" s="102"/>
      <c r="Y43" s="1">
        <v>0</v>
      </c>
      <c r="Z43" s="102"/>
      <c r="AJ43" s="10">
        <v>7007</v>
      </c>
      <c r="AK43" s="104"/>
    </row>
    <row r="44" spans="1:38" x14ac:dyDescent="0.3">
      <c r="C44" s="101">
        <v>44806</v>
      </c>
      <c r="E44" s="10">
        <v>3</v>
      </c>
      <c r="F44" s="10">
        <v>14</v>
      </c>
      <c r="G44" s="101">
        <v>44806</v>
      </c>
      <c r="H44" s="101">
        <v>44867</v>
      </c>
      <c r="I44" s="10">
        <v>1020</v>
      </c>
      <c r="J44" s="10">
        <v>21</v>
      </c>
      <c r="K44" s="10">
        <v>39</v>
      </c>
      <c r="M44" s="102">
        <v>2.0588235294117645</v>
      </c>
      <c r="N44" s="102"/>
      <c r="O44" s="102"/>
      <c r="P44" s="102"/>
      <c r="Q44" s="103"/>
      <c r="R44" s="102"/>
      <c r="W44" s="102"/>
      <c r="Y44" s="1">
        <v>0</v>
      </c>
      <c r="Z44" s="102"/>
      <c r="AJ44" s="10">
        <v>7007</v>
      </c>
      <c r="AK44" s="104"/>
    </row>
    <row r="45" spans="1:38" x14ac:dyDescent="0.3">
      <c r="A45" s="10">
        <v>15</v>
      </c>
      <c r="B45" s="10">
        <v>8</v>
      </c>
      <c r="C45" s="101">
        <v>44802</v>
      </c>
      <c r="D45" s="10" t="s">
        <v>101</v>
      </c>
      <c r="E45" s="10">
        <v>1</v>
      </c>
      <c r="F45" s="10">
        <v>15</v>
      </c>
      <c r="G45" s="101">
        <v>44803</v>
      </c>
      <c r="H45" s="101">
        <v>44860</v>
      </c>
      <c r="I45" s="10">
        <v>1000</v>
      </c>
      <c r="J45" s="10">
        <v>17</v>
      </c>
      <c r="K45" s="10">
        <v>47</v>
      </c>
      <c r="M45" s="102">
        <v>1.7000000000000002</v>
      </c>
      <c r="N45" s="102">
        <v>1.8285156110615972</v>
      </c>
      <c r="O45" s="102"/>
      <c r="P45" s="102"/>
      <c r="Q45" s="103">
        <f>((J45)+(J46)+(J47))/((I45)+(I46)+(I47))*100</f>
        <v>1.832460732984293</v>
      </c>
      <c r="R45" s="103">
        <f>100-(Q45)</f>
        <v>98.167539267015712</v>
      </c>
      <c r="W45" s="102"/>
      <c r="X45" s="10">
        <v>0</v>
      </c>
      <c r="Y45" s="1">
        <v>0</v>
      </c>
      <c r="Z45" s="10">
        <v>5.3</v>
      </c>
      <c r="AA45" s="10">
        <v>0</v>
      </c>
      <c r="AB45" s="10">
        <v>2</v>
      </c>
      <c r="AC45" s="10">
        <v>1</v>
      </c>
      <c r="AD45" s="10">
        <v>1</v>
      </c>
      <c r="AE45" s="10">
        <v>1</v>
      </c>
      <c r="AF45" s="10">
        <v>1</v>
      </c>
      <c r="AG45" s="10">
        <v>8060</v>
      </c>
      <c r="AH45" s="10">
        <v>0.06</v>
      </c>
      <c r="AI45" s="10">
        <v>0</v>
      </c>
      <c r="AJ45" s="10">
        <v>1197</v>
      </c>
      <c r="AK45" s="104">
        <v>0.14593999999999999</v>
      </c>
      <c r="AL45" s="10">
        <v>0</v>
      </c>
    </row>
    <row r="46" spans="1:38" x14ac:dyDescent="0.3">
      <c r="C46" s="101">
        <v>44802</v>
      </c>
      <c r="E46" s="10">
        <v>2</v>
      </c>
      <c r="F46" s="10">
        <v>15</v>
      </c>
      <c r="G46" s="101">
        <v>44803</v>
      </c>
      <c r="H46" s="101">
        <v>44860</v>
      </c>
      <c r="I46" s="10">
        <v>1039</v>
      </c>
      <c r="J46" s="10">
        <v>19</v>
      </c>
      <c r="K46" s="10">
        <v>84</v>
      </c>
      <c r="M46" s="102">
        <v>1.8286814244465832</v>
      </c>
      <c r="N46" s="102"/>
      <c r="O46" s="102"/>
      <c r="P46" s="102"/>
      <c r="Q46" s="103"/>
      <c r="R46" s="102"/>
      <c r="W46" s="102"/>
      <c r="Y46" s="1">
        <v>0</v>
      </c>
      <c r="AJ46" s="10">
        <v>1197</v>
      </c>
      <c r="AK46" s="104"/>
    </row>
    <row r="47" spans="1:38" x14ac:dyDescent="0.3">
      <c r="C47" s="101">
        <v>44802</v>
      </c>
      <c r="E47" s="10">
        <v>3</v>
      </c>
      <c r="F47" s="10">
        <v>15</v>
      </c>
      <c r="G47" s="101">
        <v>44803</v>
      </c>
      <c r="H47" s="101">
        <v>44860</v>
      </c>
      <c r="I47" s="10">
        <v>1017</v>
      </c>
      <c r="J47" s="10">
        <v>20</v>
      </c>
      <c r="K47" s="10">
        <v>64</v>
      </c>
      <c r="M47" s="102">
        <v>1.9665683382497541</v>
      </c>
      <c r="N47" s="102"/>
      <c r="O47" s="102"/>
      <c r="P47" s="102"/>
      <c r="Q47" s="103"/>
      <c r="R47" s="102"/>
      <c r="W47" s="102"/>
      <c r="Y47" s="1">
        <v>0</v>
      </c>
      <c r="AJ47" s="10">
        <v>1197</v>
      </c>
      <c r="AK47" s="104"/>
    </row>
    <row r="48" spans="1:38" x14ac:dyDescent="0.3">
      <c r="A48" s="10">
        <v>16</v>
      </c>
      <c r="B48" s="10">
        <v>12</v>
      </c>
      <c r="C48" s="101">
        <v>44816</v>
      </c>
      <c r="D48" s="10" t="s">
        <v>101</v>
      </c>
      <c r="E48" s="10">
        <v>1</v>
      </c>
      <c r="F48" s="10">
        <v>16</v>
      </c>
      <c r="G48" s="101">
        <v>44817</v>
      </c>
      <c r="H48" s="101">
        <v>44916</v>
      </c>
      <c r="I48" s="10">
        <v>1029</v>
      </c>
      <c r="J48" s="10">
        <v>37</v>
      </c>
      <c r="K48" s="10">
        <v>29</v>
      </c>
      <c r="M48" s="102">
        <v>3.5957240038872693</v>
      </c>
      <c r="N48" s="102">
        <v>2.3833296225102769</v>
      </c>
      <c r="O48" s="102"/>
      <c r="P48" s="102"/>
      <c r="Q48" s="103">
        <f>((J48)+(J49)+(J50))/((I48)+(I49)+(I50))*100</f>
        <v>2.4710666249609008</v>
      </c>
      <c r="R48" s="103">
        <f>100-(Q48)</f>
        <v>97.528933375039102</v>
      </c>
      <c r="W48" s="102"/>
      <c r="X48" s="10">
        <v>0</v>
      </c>
      <c r="Y48" s="1">
        <v>0</v>
      </c>
      <c r="Z48" s="10">
        <v>8.3000000000000007</v>
      </c>
      <c r="AA48" s="10">
        <v>1</v>
      </c>
      <c r="AB48" s="10">
        <v>3</v>
      </c>
      <c r="AC48" s="10">
        <v>1</v>
      </c>
      <c r="AD48" s="10">
        <v>0</v>
      </c>
      <c r="AE48" s="10">
        <v>1</v>
      </c>
      <c r="AF48" s="10">
        <v>1</v>
      </c>
      <c r="AG48" s="10">
        <v>8043</v>
      </c>
      <c r="AH48" s="10">
        <v>0.1</v>
      </c>
      <c r="AI48" s="10">
        <v>0</v>
      </c>
      <c r="AJ48" s="10">
        <v>1078</v>
      </c>
      <c r="AK48" s="104">
        <v>4.3560000000000001E-2</v>
      </c>
      <c r="AL48" s="10">
        <v>0</v>
      </c>
    </row>
    <row r="49" spans="1:38" x14ac:dyDescent="0.3">
      <c r="C49" s="101">
        <v>44816</v>
      </c>
      <c r="E49" s="10">
        <v>2</v>
      </c>
      <c r="F49" s="10">
        <v>16</v>
      </c>
      <c r="G49" s="101">
        <v>44817</v>
      </c>
      <c r="H49" s="101">
        <v>44916</v>
      </c>
      <c r="I49" s="10">
        <v>1164</v>
      </c>
      <c r="J49" s="10">
        <v>22</v>
      </c>
      <c r="K49" s="10">
        <v>26</v>
      </c>
      <c r="M49" s="102">
        <v>1.8900343642611683</v>
      </c>
      <c r="N49" s="102"/>
      <c r="O49" s="102"/>
      <c r="P49" s="102"/>
      <c r="Q49" s="103"/>
      <c r="R49" s="102"/>
      <c r="W49" s="102"/>
      <c r="Y49" s="1">
        <v>0</v>
      </c>
      <c r="AJ49" s="10">
        <v>1078</v>
      </c>
      <c r="AK49" s="104"/>
    </row>
    <row r="50" spans="1:38" x14ac:dyDescent="0.3">
      <c r="C50" s="101">
        <v>44816</v>
      </c>
      <c r="E50" s="10">
        <v>3</v>
      </c>
      <c r="F50" s="10">
        <v>16</v>
      </c>
      <c r="G50" s="101">
        <v>44817</v>
      </c>
      <c r="H50" s="101">
        <v>44916</v>
      </c>
      <c r="I50" s="10">
        <v>1004</v>
      </c>
      <c r="J50" s="10">
        <v>20</v>
      </c>
      <c r="K50" s="10">
        <v>30</v>
      </c>
      <c r="M50" s="102">
        <v>1.9920318725099602</v>
      </c>
      <c r="N50" s="102"/>
      <c r="O50" s="102"/>
      <c r="P50" s="102"/>
      <c r="Q50" s="103"/>
      <c r="R50" s="102"/>
      <c r="W50" s="102"/>
      <c r="Y50" s="1">
        <v>0</v>
      </c>
      <c r="AJ50" s="10">
        <v>1078</v>
      </c>
      <c r="AK50" s="104"/>
    </row>
    <row r="51" spans="1:38" x14ac:dyDescent="0.3">
      <c r="A51" s="10">
        <v>17</v>
      </c>
      <c r="B51" s="10">
        <v>12</v>
      </c>
      <c r="C51" s="101">
        <v>44816</v>
      </c>
      <c r="D51" s="10" t="s">
        <v>101</v>
      </c>
      <c r="E51" s="10">
        <v>1</v>
      </c>
      <c r="F51" s="10">
        <v>17</v>
      </c>
      <c r="G51" s="101">
        <v>44817</v>
      </c>
      <c r="H51" s="101">
        <v>44916</v>
      </c>
      <c r="I51" s="10">
        <v>1050</v>
      </c>
      <c r="J51" s="10">
        <v>22</v>
      </c>
      <c r="K51" s="10">
        <v>15</v>
      </c>
      <c r="M51" s="102">
        <v>2.0952380952380953</v>
      </c>
      <c r="N51" s="102">
        <v>1.7963137446049924</v>
      </c>
      <c r="O51" s="102"/>
      <c r="P51" s="102"/>
      <c r="Q51" s="103">
        <f>((J51)+(J52)+(J53))/((I51)+(I52)+(I53))*100</f>
        <v>1.8181818181818181</v>
      </c>
      <c r="R51" s="103">
        <f>100-(Q51)</f>
        <v>98.181818181818187</v>
      </c>
      <c r="W51" s="102"/>
      <c r="X51" s="10">
        <v>0</v>
      </c>
      <c r="Y51" s="1">
        <v>0</v>
      </c>
      <c r="Z51" s="10">
        <v>5.9</v>
      </c>
      <c r="AA51" s="10">
        <v>0</v>
      </c>
      <c r="AB51" s="10">
        <v>3</v>
      </c>
      <c r="AC51" s="10">
        <v>1</v>
      </c>
      <c r="AD51" s="10">
        <v>1</v>
      </c>
      <c r="AE51" s="10">
        <v>1</v>
      </c>
      <c r="AF51" s="10">
        <v>1</v>
      </c>
      <c r="AG51" s="10">
        <v>43043</v>
      </c>
      <c r="AH51" s="10">
        <v>0.9</v>
      </c>
      <c r="AI51" s="10">
        <v>0</v>
      </c>
      <c r="AJ51" s="10">
        <v>4017</v>
      </c>
      <c r="AK51" s="104">
        <v>8.054E-2</v>
      </c>
      <c r="AL51" s="10">
        <v>0</v>
      </c>
    </row>
    <row r="52" spans="1:38" x14ac:dyDescent="0.3">
      <c r="C52" s="101">
        <v>44816</v>
      </c>
      <c r="E52" s="10">
        <v>2</v>
      </c>
      <c r="F52" s="10">
        <v>17</v>
      </c>
      <c r="G52" s="101">
        <v>44817</v>
      </c>
      <c r="H52" s="101">
        <v>44916</v>
      </c>
      <c r="I52" s="10">
        <v>1014</v>
      </c>
      <c r="J52" s="10">
        <v>19</v>
      </c>
      <c r="K52" s="10">
        <v>18</v>
      </c>
      <c r="M52" s="102">
        <v>1.8737672583826428</v>
      </c>
      <c r="N52" s="102"/>
      <c r="O52" s="102"/>
      <c r="P52" s="102"/>
      <c r="Q52" s="103"/>
      <c r="R52" s="102"/>
      <c r="W52" s="102"/>
      <c r="Y52" s="1">
        <v>0</v>
      </c>
      <c r="AJ52" s="10">
        <v>4017</v>
      </c>
      <c r="AK52" s="104"/>
    </row>
    <row r="53" spans="1:38" x14ac:dyDescent="0.3">
      <c r="C53" s="101">
        <v>44816</v>
      </c>
      <c r="E53" s="10">
        <v>3</v>
      </c>
      <c r="F53" s="10">
        <v>17</v>
      </c>
      <c r="G53" s="101">
        <v>44817</v>
      </c>
      <c r="H53" s="101">
        <v>44916</v>
      </c>
      <c r="I53" s="10">
        <v>1016</v>
      </c>
      <c r="J53" s="10">
        <v>15</v>
      </c>
      <c r="K53" s="10">
        <v>14</v>
      </c>
      <c r="M53" s="102">
        <v>1.4763779527559056</v>
      </c>
      <c r="N53" s="102"/>
      <c r="O53" s="102"/>
      <c r="P53" s="102"/>
      <c r="Q53" s="103"/>
      <c r="R53" s="102"/>
      <c r="W53" s="102"/>
      <c r="Y53" s="1">
        <v>0</v>
      </c>
      <c r="AJ53" s="10">
        <v>4017</v>
      </c>
      <c r="AK53" s="104"/>
    </row>
    <row r="54" spans="1:38" x14ac:dyDescent="0.3">
      <c r="A54" s="10">
        <v>18</v>
      </c>
      <c r="B54" s="10">
        <v>10</v>
      </c>
      <c r="C54" s="101">
        <v>44809</v>
      </c>
      <c r="D54" s="10" t="s">
        <v>101</v>
      </c>
      <c r="E54" s="10">
        <v>1</v>
      </c>
      <c r="F54" s="10">
        <v>18</v>
      </c>
      <c r="G54" s="101">
        <v>44810</v>
      </c>
      <c r="H54" s="101" t="s">
        <v>335</v>
      </c>
      <c r="I54" s="10">
        <v>1012</v>
      </c>
      <c r="J54" s="10">
        <v>39</v>
      </c>
      <c r="K54" s="10">
        <v>30</v>
      </c>
      <c r="M54" s="102">
        <v>3.8537549407114624</v>
      </c>
      <c r="N54" s="102">
        <v>4.1399073642150039</v>
      </c>
      <c r="O54" s="102"/>
      <c r="P54" s="102">
        <f>(N54)/($O$3)</f>
        <v>1.5474494491896822</v>
      </c>
      <c r="Q54" s="103">
        <f>((J54)+(J55)+(J56))/((I54)+(I55)+(I56))*100</f>
        <v>4.1491085899513775</v>
      </c>
      <c r="R54" s="103">
        <f>100-(Q54)</f>
        <v>95.850891410048618</v>
      </c>
      <c r="W54" s="102"/>
      <c r="X54" s="10">
        <v>0</v>
      </c>
      <c r="Y54" s="1">
        <v>1</v>
      </c>
      <c r="Z54" s="10">
        <v>7.8</v>
      </c>
      <c r="AA54" s="10">
        <v>0</v>
      </c>
      <c r="AB54" s="10">
        <v>3</v>
      </c>
      <c r="AC54" s="10">
        <v>1</v>
      </c>
      <c r="AD54" s="10">
        <v>1</v>
      </c>
      <c r="AE54" s="10">
        <v>1</v>
      </c>
      <c r="AF54" s="10">
        <v>1</v>
      </c>
      <c r="AG54" s="10">
        <v>9170</v>
      </c>
      <c r="AH54" s="10">
        <v>0.1</v>
      </c>
      <c r="AI54" s="10">
        <v>0</v>
      </c>
      <c r="AJ54" s="10">
        <v>3109</v>
      </c>
      <c r="AK54" s="104">
        <v>0.16438</v>
      </c>
      <c r="AL54" s="10">
        <v>0</v>
      </c>
    </row>
    <row r="55" spans="1:38" x14ac:dyDescent="0.3">
      <c r="C55" s="101">
        <v>44809</v>
      </c>
      <c r="E55" s="10">
        <v>2</v>
      </c>
      <c r="F55" s="10">
        <v>18</v>
      </c>
      <c r="G55" s="101">
        <v>44810</v>
      </c>
      <c r="H55" s="101" t="s">
        <v>335</v>
      </c>
      <c r="I55" s="10">
        <v>1037</v>
      </c>
      <c r="J55" s="10">
        <v>43</v>
      </c>
      <c r="K55" s="10">
        <v>17</v>
      </c>
      <c r="M55" s="102">
        <v>4.1465766634522661</v>
      </c>
      <c r="N55" s="102"/>
      <c r="O55" s="102"/>
      <c r="P55" s="102"/>
      <c r="Q55" s="103"/>
      <c r="R55" s="102"/>
      <c r="W55" s="102"/>
      <c r="Y55" s="1">
        <v>1</v>
      </c>
      <c r="AJ55" s="10">
        <v>3109</v>
      </c>
      <c r="AK55" s="104"/>
    </row>
    <row r="56" spans="1:38" x14ac:dyDescent="0.3">
      <c r="C56" s="101">
        <v>44809</v>
      </c>
      <c r="E56" s="10">
        <v>3</v>
      </c>
      <c r="F56" s="10">
        <v>18</v>
      </c>
      <c r="G56" s="101">
        <v>44810</v>
      </c>
      <c r="H56" s="101" t="s">
        <v>335</v>
      </c>
      <c r="I56" s="10">
        <v>1036</v>
      </c>
      <c r="J56" s="10">
        <v>46</v>
      </c>
      <c r="K56" s="10">
        <v>15</v>
      </c>
      <c r="M56" s="102">
        <v>4.4401544401544406</v>
      </c>
      <c r="N56" s="102"/>
      <c r="O56" s="102"/>
      <c r="P56" s="102"/>
      <c r="Q56" s="103"/>
      <c r="R56" s="102"/>
      <c r="W56" s="102"/>
      <c r="Y56" s="1">
        <v>1</v>
      </c>
      <c r="AJ56" s="10">
        <v>3109</v>
      </c>
      <c r="AK56" s="104"/>
    </row>
    <row r="57" spans="1:38" x14ac:dyDescent="0.3">
      <c r="A57" s="10">
        <v>19</v>
      </c>
      <c r="B57" s="10">
        <v>13</v>
      </c>
      <c r="C57" s="101">
        <v>44819</v>
      </c>
      <c r="D57" s="10" t="s">
        <v>101</v>
      </c>
      <c r="E57" s="10">
        <v>1</v>
      </c>
      <c r="F57" s="10">
        <v>19</v>
      </c>
      <c r="G57" s="101">
        <v>44820</v>
      </c>
      <c r="H57" s="101">
        <v>44918</v>
      </c>
      <c r="I57" s="10">
        <v>1090</v>
      </c>
      <c r="J57" s="10">
        <v>21</v>
      </c>
      <c r="K57" s="10">
        <v>7</v>
      </c>
      <c r="M57" s="102">
        <v>1.926605504587156</v>
      </c>
      <c r="N57" s="102">
        <v>2.4152694267212573</v>
      </c>
      <c r="O57" s="102"/>
      <c r="P57" s="102"/>
      <c r="Q57" s="103">
        <f>((J57)+(J58)+(J59))/((I57)+(I58)+(I59))*100</f>
        <v>2.4382619568615191</v>
      </c>
      <c r="R57" s="103">
        <f>100-(Q57)</f>
        <v>97.561738043138476</v>
      </c>
      <c r="W57" s="102"/>
      <c r="X57" s="10">
        <v>0</v>
      </c>
      <c r="Y57" s="1">
        <v>0</v>
      </c>
      <c r="Z57" s="10">
        <v>35.799999999999997</v>
      </c>
      <c r="AA57" s="10">
        <v>1</v>
      </c>
      <c r="AB57" s="10">
        <v>3</v>
      </c>
      <c r="AC57" s="10">
        <v>1</v>
      </c>
      <c r="AD57" s="10">
        <v>1</v>
      </c>
      <c r="AE57" s="10">
        <v>1</v>
      </c>
      <c r="AF57" s="10">
        <v>1</v>
      </c>
      <c r="AG57" s="10">
        <v>4606</v>
      </c>
      <c r="AH57" s="10">
        <v>0.3</v>
      </c>
      <c r="AI57" s="10">
        <v>0</v>
      </c>
      <c r="AJ57" s="10">
        <v>18805</v>
      </c>
      <c r="AK57" s="104">
        <v>0.57630000000000003</v>
      </c>
      <c r="AL57" s="10">
        <v>0</v>
      </c>
    </row>
    <row r="58" spans="1:38" x14ac:dyDescent="0.3">
      <c r="C58" s="101">
        <v>44819</v>
      </c>
      <c r="E58" s="10">
        <v>2</v>
      </c>
      <c r="F58" s="10">
        <v>19</v>
      </c>
      <c r="G58" s="101">
        <v>44820</v>
      </c>
      <c r="H58" s="101">
        <v>44918</v>
      </c>
      <c r="I58" s="10">
        <v>1014</v>
      </c>
      <c r="J58" s="10">
        <v>28</v>
      </c>
      <c r="K58" s="10">
        <v>13</v>
      </c>
      <c r="M58" s="102">
        <v>2.7613412228796843</v>
      </c>
      <c r="N58" s="102"/>
      <c r="O58" s="102"/>
      <c r="P58" s="102"/>
      <c r="Q58" s="103"/>
      <c r="R58" s="102"/>
      <c r="W58" s="102"/>
      <c r="Y58" s="1">
        <v>0</v>
      </c>
      <c r="AJ58" s="10">
        <v>18805</v>
      </c>
      <c r="AK58" s="104"/>
    </row>
    <row r="59" spans="1:38" x14ac:dyDescent="0.3">
      <c r="C59" s="101">
        <v>44819</v>
      </c>
      <c r="E59" s="10">
        <v>3</v>
      </c>
      <c r="F59" s="10">
        <v>19</v>
      </c>
      <c r="G59" s="101">
        <v>44820</v>
      </c>
      <c r="H59" s="101">
        <v>44918</v>
      </c>
      <c r="I59" s="10">
        <v>1095</v>
      </c>
      <c r="J59" s="10">
        <v>29</v>
      </c>
      <c r="K59" s="10">
        <v>11</v>
      </c>
      <c r="M59" s="102">
        <v>2.6484018264840183</v>
      </c>
      <c r="N59" s="102"/>
      <c r="O59" s="102"/>
      <c r="P59" s="102"/>
      <c r="Q59" s="103"/>
      <c r="R59" s="102"/>
      <c r="W59" s="102"/>
      <c r="Y59" s="1">
        <v>0</v>
      </c>
      <c r="AJ59" s="10">
        <v>18805</v>
      </c>
      <c r="AK59" s="104"/>
    </row>
    <row r="60" spans="1:38" x14ac:dyDescent="0.3">
      <c r="A60" s="10">
        <v>20</v>
      </c>
      <c r="B60" s="10">
        <v>10</v>
      </c>
      <c r="C60" s="101">
        <v>44809</v>
      </c>
      <c r="D60" s="10" t="s">
        <v>101</v>
      </c>
      <c r="E60" s="10">
        <v>1</v>
      </c>
      <c r="F60" s="10">
        <v>20</v>
      </c>
      <c r="G60" s="101">
        <v>44810</v>
      </c>
      <c r="H60" s="101" t="s">
        <v>336</v>
      </c>
      <c r="I60" s="10">
        <v>1062</v>
      </c>
      <c r="J60" s="10">
        <v>67</v>
      </c>
      <c r="K60" s="10">
        <v>10</v>
      </c>
      <c r="M60" s="102">
        <v>6.308851224105462</v>
      </c>
      <c r="N60" s="102">
        <v>6.7296650821183563</v>
      </c>
      <c r="O60" s="102"/>
      <c r="P60" s="102">
        <f>(N60)/($O$3)</f>
        <v>2.515470905115222</v>
      </c>
      <c r="Q60" s="103">
        <f>((J60)+(J61)+(J62))/((I60)+(I61)+(I62))*100</f>
        <v>6.7758509955041752</v>
      </c>
      <c r="R60" s="103">
        <f>100-(Q60)</f>
        <v>93.224149004495828</v>
      </c>
      <c r="V60" s="102"/>
      <c r="W60" s="102"/>
      <c r="X60" s="10">
        <v>0</v>
      </c>
      <c r="Y60" s="1">
        <v>1</v>
      </c>
      <c r="Z60" s="10">
        <v>5.9</v>
      </c>
      <c r="AA60" s="10">
        <v>1</v>
      </c>
      <c r="AB60" s="10">
        <v>3</v>
      </c>
      <c r="AC60" s="10">
        <v>2</v>
      </c>
      <c r="AD60" s="10">
        <v>1</v>
      </c>
      <c r="AE60" s="10">
        <v>1</v>
      </c>
      <c r="AF60" s="10">
        <v>1</v>
      </c>
      <c r="AG60" s="10">
        <v>1659</v>
      </c>
      <c r="AH60" s="10">
        <v>0.3</v>
      </c>
      <c r="AI60" s="10">
        <v>0</v>
      </c>
      <c r="AJ60" s="10">
        <v>1611</v>
      </c>
      <c r="AK60" s="104">
        <v>0.15143999999999999</v>
      </c>
      <c r="AL60" s="10">
        <v>0</v>
      </c>
    </row>
    <row r="61" spans="1:38" x14ac:dyDescent="0.3">
      <c r="C61" s="101">
        <v>44809</v>
      </c>
      <c r="E61" s="10">
        <v>2</v>
      </c>
      <c r="F61" s="10">
        <v>20</v>
      </c>
      <c r="G61" s="101">
        <v>44810</v>
      </c>
      <c r="H61" s="101" t="s">
        <v>336</v>
      </c>
      <c r="I61" s="10">
        <v>1009</v>
      </c>
      <c r="J61" s="10">
        <v>82</v>
      </c>
      <c r="K61" s="10">
        <v>11</v>
      </c>
      <c r="M61" s="102">
        <v>8.1268582755203163</v>
      </c>
      <c r="N61" s="102"/>
      <c r="O61" s="102"/>
      <c r="P61" s="102"/>
      <c r="Q61" s="103"/>
      <c r="R61" s="102"/>
      <c r="V61" s="102"/>
      <c r="W61" s="102"/>
      <c r="Y61" s="1">
        <v>1</v>
      </c>
      <c r="AJ61" s="10">
        <v>1611</v>
      </c>
      <c r="AK61" s="104"/>
    </row>
    <row r="62" spans="1:38" x14ac:dyDescent="0.3">
      <c r="C62" s="101">
        <v>44809</v>
      </c>
      <c r="E62" s="10">
        <v>3</v>
      </c>
      <c r="F62" s="10">
        <v>20</v>
      </c>
      <c r="G62" s="101">
        <v>44810</v>
      </c>
      <c r="H62" s="101" t="s">
        <v>336</v>
      </c>
      <c r="I62" s="10">
        <v>1043</v>
      </c>
      <c r="J62" s="10">
        <v>62</v>
      </c>
      <c r="K62" s="10">
        <v>11</v>
      </c>
      <c r="M62" s="102">
        <v>5.9443911792905082</v>
      </c>
      <c r="N62" s="102"/>
      <c r="O62" s="102"/>
      <c r="P62" s="102"/>
      <c r="Q62" s="103"/>
      <c r="R62" s="102"/>
      <c r="V62" s="102"/>
      <c r="W62" s="102"/>
      <c r="Y62" s="1">
        <v>1</v>
      </c>
      <c r="AJ62" s="10">
        <v>1611</v>
      </c>
      <c r="AK62" s="104"/>
    </row>
    <row r="63" spans="1:38" x14ac:dyDescent="0.3">
      <c r="A63" s="10">
        <v>21</v>
      </c>
      <c r="B63" s="10">
        <v>10</v>
      </c>
      <c r="C63" s="101">
        <v>44809</v>
      </c>
      <c r="D63" s="10" t="s">
        <v>101</v>
      </c>
      <c r="E63" s="10">
        <v>1</v>
      </c>
      <c r="F63" s="10">
        <v>21</v>
      </c>
      <c r="G63" s="101">
        <v>44810</v>
      </c>
      <c r="H63" s="101" t="s">
        <v>337</v>
      </c>
      <c r="I63" s="10">
        <v>1016</v>
      </c>
      <c r="J63" s="10">
        <v>63</v>
      </c>
      <c r="K63" s="10">
        <v>62</v>
      </c>
      <c r="M63" s="102">
        <v>6.2007874015748037</v>
      </c>
      <c r="N63" s="102">
        <v>6.6287987716283165</v>
      </c>
      <c r="O63" s="102"/>
      <c r="P63" s="102">
        <f>(N63)/($O$3)</f>
        <v>2.4777682458821197</v>
      </c>
      <c r="Q63" s="103">
        <f>((J63)+(J64)+(J65))/((I63)+(I64)+(I65))*100</f>
        <v>6.9553805774278219</v>
      </c>
      <c r="R63" s="103">
        <f>100-(Q63)</f>
        <v>93.044619422572183</v>
      </c>
      <c r="W63" s="102"/>
      <c r="X63" s="10">
        <v>0</v>
      </c>
      <c r="Y63" s="1">
        <v>1</v>
      </c>
      <c r="Z63" s="10">
        <v>7.8</v>
      </c>
      <c r="AA63" s="10">
        <v>0</v>
      </c>
      <c r="AB63" s="10">
        <v>3</v>
      </c>
      <c r="AC63" s="10">
        <v>2</v>
      </c>
      <c r="AD63" s="10">
        <v>0</v>
      </c>
      <c r="AE63" s="10">
        <v>1</v>
      </c>
      <c r="AF63" s="10">
        <v>1</v>
      </c>
      <c r="AG63" s="10">
        <v>1604</v>
      </c>
      <c r="AH63" s="10">
        <v>0.05</v>
      </c>
      <c r="AI63" s="10">
        <v>0</v>
      </c>
      <c r="AJ63" s="10">
        <v>870</v>
      </c>
      <c r="AK63" s="104">
        <v>7.4099999999999999E-3</v>
      </c>
      <c r="AL63" s="10">
        <v>0</v>
      </c>
    </row>
    <row r="64" spans="1:38" x14ac:dyDescent="0.3">
      <c r="C64" s="101">
        <v>44809</v>
      </c>
      <c r="E64" s="10">
        <v>2</v>
      </c>
      <c r="F64" s="10">
        <v>21</v>
      </c>
      <c r="G64" s="101">
        <v>44810</v>
      </c>
      <c r="H64" s="101" t="s">
        <v>337</v>
      </c>
      <c r="I64" s="10">
        <v>1030</v>
      </c>
      <c r="J64" s="10">
        <v>48</v>
      </c>
      <c r="K64" s="10">
        <v>18</v>
      </c>
      <c r="M64" s="102">
        <v>4.6601941747572813</v>
      </c>
      <c r="N64" s="102"/>
      <c r="O64" s="102"/>
      <c r="P64" s="102"/>
      <c r="Q64" s="103"/>
      <c r="R64" s="102"/>
      <c r="W64" s="102"/>
      <c r="Y64" s="1">
        <v>1</v>
      </c>
      <c r="AJ64" s="10">
        <v>870</v>
      </c>
      <c r="AK64" s="104"/>
    </row>
    <row r="65" spans="1:38" x14ac:dyDescent="0.3">
      <c r="C65" s="101">
        <v>44809</v>
      </c>
      <c r="E65" s="10">
        <v>3</v>
      </c>
      <c r="F65" s="10">
        <v>21</v>
      </c>
      <c r="G65" s="101">
        <v>44810</v>
      </c>
      <c r="H65" s="101" t="s">
        <v>337</v>
      </c>
      <c r="I65" s="10">
        <v>1002</v>
      </c>
      <c r="J65" s="10">
        <v>101</v>
      </c>
      <c r="K65" s="10">
        <v>127</v>
      </c>
      <c r="M65" s="102">
        <v>10.079840319361278</v>
      </c>
      <c r="N65" s="102"/>
      <c r="O65" s="102"/>
      <c r="P65" s="102"/>
      <c r="Q65" s="103"/>
      <c r="R65" s="102"/>
      <c r="W65" s="102"/>
      <c r="Y65" s="1">
        <v>1</v>
      </c>
      <c r="AJ65" s="10">
        <v>870</v>
      </c>
      <c r="AK65" s="104"/>
    </row>
    <row r="66" spans="1:38" x14ac:dyDescent="0.3">
      <c r="A66" s="10">
        <v>22</v>
      </c>
      <c r="B66" s="10">
        <v>14</v>
      </c>
      <c r="C66" s="101">
        <v>44823</v>
      </c>
      <c r="D66" s="10" t="s">
        <v>101</v>
      </c>
      <c r="E66" s="10">
        <v>1</v>
      </c>
      <c r="F66" s="10">
        <v>22</v>
      </c>
      <c r="G66" s="101">
        <v>44824</v>
      </c>
      <c r="H66" s="101">
        <v>44895</v>
      </c>
      <c r="I66" s="10">
        <v>1060</v>
      </c>
      <c r="J66" s="10">
        <v>75</v>
      </c>
      <c r="K66" s="10">
        <v>15</v>
      </c>
      <c r="M66" s="102">
        <v>7.0754716981132075</v>
      </c>
      <c r="N66" s="102">
        <v>7.3664918141651601</v>
      </c>
      <c r="O66" s="102"/>
      <c r="P66" s="102">
        <f>(N66)/($O$3)</f>
        <v>2.7535093656501837</v>
      </c>
      <c r="Q66" s="103">
        <f>((J66)+(J67)+(J68))/((I66)+(I67)+(I68))*100</f>
        <v>7.3917290784760672</v>
      </c>
      <c r="R66" s="103">
        <f>100-(Q66)</f>
        <v>92.608270921523939</v>
      </c>
      <c r="W66" s="102"/>
      <c r="X66" s="10">
        <v>0</v>
      </c>
      <c r="Y66" s="1">
        <v>2</v>
      </c>
      <c r="Z66" s="10">
        <v>6.8</v>
      </c>
      <c r="AA66" s="10">
        <v>0</v>
      </c>
      <c r="AB66" s="10">
        <v>3</v>
      </c>
      <c r="AC66" s="10">
        <v>2</v>
      </c>
      <c r="AD66" s="10">
        <v>0</v>
      </c>
      <c r="AE66" s="10">
        <v>1</v>
      </c>
      <c r="AF66" s="10">
        <v>1</v>
      </c>
      <c r="AG66" s="10">
        <v>3880</v>
      </c>
      <c r="AH66" s="10">
        <v>0.08</v>
      </c>
      <c r="AI66" s="10">
        <v>0</v>
      </c>
      <c r="AJ66" s="10">
        <v>9514</v>
      </c>
      <c r="AK66" s="104">
        <v>9.0480000000000005E-2</v>
      </c>
      <c r="AL66" s="10">
        <v>0</v>
      </c>
    </row>
    <row r="67" spans="1:38" x14ac:dyDescent="0.3">
      <c r="C67" s="101">
        <v>44823</v>
      </c>
      <c r="E67" s="10">
        <v>2</v>
      </c>
      <c r="F67" s="10">
        <v>22</v>
      </c>
      <c r="G67" s="101">
        <v>44824</v>
      </c>
      <c r="H67" s="101">
        <v>44895</v>
      </c>
      <c r="I67" s="10">
        <v>1003</v>
      </c>
      <c r="J67" s="10">
        <v>84</v>
      </c>
      <c r="K67" s="10">
        <v>29</v>
      </c>
      <c r="M67" s="102">
        <v>8.3748753738783659</v>
      </c>
      <c r="N67" s="102"/>
      <c r="O67" s="102"/>
      <c r="P67" s="102"/>
      <c r="Q67" s="103"/>
      <c r="R67" s="102"/>
      <c r="W67" s="102"/>
      <c r="Y67" s="1">
        <v>2</v>
      </c>
      <c r="AJ67" s="10">
        <v>9514</v>
      </c>
      <c r="AK67" s="104"/>
    </row>
    <row r="68" spans="1:38" x14ac:dyDescent="0.3">
      <c r="C68" s="101">
        <v>44823</v>
      </c>
      <c r="E68" s="10">
        <v>3</v>
      </c>
      <c r="F68" s="10">
        <v>22</v>
      </c>
      <c r="G68" s="101">
        <v>44824</v>
      </c>
      <c r="H68" s="101">
        <v>44895</v>
      </c>
      <c r="I68" s="10">
        <v>1008</v>
      </c>
      <c r="J68" s="10">
        <v>68</v>
      </c>
      <c r="K68" s="10">
        <v>26</v>
      </c>
      <c r="M68" s="102">
        <v>6.746031746031746</v>
      </c>
      <c r="N68" s="102"/>
      <c r="O68" s="102"/>
      <c r="P68" s="102"/>
      <c r="Q68" s="103"/>
      <c r="R68" s="102"/>
      <c r="W68" s="102"/>
      <c r="Y68" s="1">
        <v>2</v>
      </c>
      <c r="AJ68" s="10">
        <v>9514</v>
      </c>
      <c r="AK68" s="104"/>
    </row>
    <row r="69" spans="1:38" x14ac:dyDescent="0.3">
      <c r="A69" s="10">
        <v>23</v>
      </c>
      <c r="B69" s="10">
        <v>10</v>
      </c>
      <c r="C69" s="101">
        <v>44809</v>
      </c>
      <c r="D69" s="10" t="s">
        <v>101</v>
      </c>
      <c r="E69" s="10">
        <v>1</v>
      </c>
      <c r="F69" s="10">
        <v>23</v>
      </c>
      <c r="G69" s="101">
        <v>44810</v>
      </c>
      <c r="H69" s="101">
        <v>44873</v>
      </c>
      <c r="I69" s="10">
        <v>1037</v>
      </c>
      <c r="J69" s="10">
        <v>40</v>
      </c>
      <c r="K69" s="10">
        <v>18</v>
      </c>
      <c r="M69" s="102">
        <v>3.857280617164899</v>
      </c>
      <c r="N69" s="102">
        <v>3.7211312517514079</v>
      </c>
      <c r="O69" s="102"/>
      <c r="P69" s="102">
        <f>(N69)/($O$3)</f>
        <v>1.3909157861016759</v>
      </c>
      <c r="Q69" s="103">
        <f>((J69)+(J70)+(J71))/((I69)+(I70)+(I71))*100</f>
        <v>3.7261146496815285</v>
      </c>
      <c r="R69" s="103">
        <f>100-(Q69)</f>
        <v>96.273885350318466</v>
      </c>
      <c r="W69" s="102"/>
      <c r="X69" s="10">
        <v>0</v>
      </c>
      <c r="Y69" s="1">
        <v>1</v>
      </c>
      <c r="Z69" s="10">
        <v>4.9000000000000004</v>
      </c>
      <c r="AA69" s="10">
        <v>0</v>
      </c>
      <c r="AB69" s="10">
        <v>3</v>
      </c>
      <c r="AC69" s="10">
        <v>1</v>
      </c>
      <c r="AD69" s="10">
        <v>1</v>
      </c>
      <c r="AE69" s="10">
        <v>1</v>
      </c>
      <c r="AF69" s="10">
        <v>1</v>
      </c>
      <c r="AG69" s="10">
        <v>6566</v>
      </c>
      <c r="AH69" s="10">
        <v>0.03</v>
      </c>
      <c r="AI69" s="10">
        <v>0</v>
      </c>
      <c r="AJ69" s="10">
        <v>779</v>
      </c>
      <c r="AK69" s="104">
        <v>0.13558000000000001</v>
      </c>
      <c r="AL69" s="10">
        <v>0</v>
      </c>
    </row>
    <row r="70" spans="1:38" x14ac:dyDescent="0.3">
      <c r="C70" s="101">
        <v>44809</v>
      </c>
      <c r="E70" s="10">
        <v>2</v>
      </c>
      <c r="F70" s="10">
        <v>23</v>
      </c>
      <c r="G70" s="101">
        <v>44810</v>
      </c>
      <c r="H70" s="101">
        <v>44873</v>
      </c>
      <c r="I70" s="10">
        <v>1025</v>
      </c>
      <c r="J70" s="10">
        <v>36</v>
      </c>
      <c r="K70" s="10">
        <v>36</v>
      </c>
      <c r="M70" s="102">
        <v>3.51219512195122</v>
      </c>
      <c r="N70" s="102"/>
      <c r="O70" s="102"/>
      <c r="P70" s="102"/>
      <c r="Q70" s="103"/>
      <c r="R70" s="102"/>
      <c r="W70" s="102"/>
      <c r="Y70" s="1">
        <v>1</v>
      </c>
      <c r="AJ70" s="10">
        <v>779</v>
      </c>
      <c r="AK70" s="104"/>
    </row>
    <row r="71" spans="1:38" x14ac:dyDescent="0.3">
      <c r="C71" s="101">
        <v>44809</v>
      </c>
      <c r="E71" s="10">
        <v>3</v>
      </c>
      <c r="F71" s="10">
        <v>23</v>
      </c>
      <c r="G71" s="101">
        <v>44810</v>
      </c>
      <c r="H71" s="101">
        <v>44873</v>
      </c>
      <c r="I71" s="10">
        <v>1078</v>
      </c>
      <c r="J71" s="10">
        <v>41</v>
      </c>
      <c r="K71" s="10">
        <v>12</v>
      </c>
      <c r="M71" s="102">
        <v>3.8033395176252318</v>
      </c>
      <c r="N71" s="102"/>
      <c r="O71" s="102"/>
      <c r="P71" s="102"/>
      <c r="Q71" s="103"/>
      <c r="R71" s="102"/>
      <c r="W71" s="102"/>
      <c r="Y71" s="1">
        <v>1</v>
      </c>
      <c r="AJ71" s="10">
        <v>779</v>
      </c>
      <c r="AK71" s="104"/>
    </row>
    <row r="72" spans="1:38" x14ac:dyDescent="0.3">
      <c r="A72" s="10">
        <v>24</v>
      </c>
      <c r="B72" s="10">
        <v>13</v>
      </c>
      <c r="C72" s="101">
        <v>44819</v>
      </c>
      <c r="D72" s="10" t="s">
        <v>101</v>
      </c>
      <c r="E72" s="10">
        <v>1</v>
      </c>
      <c r="F72" s="10">
        <v>24</v>
      </c>
      <c r="G72" s="101">
        <v>44820</v>
      </c>
      <c r="H72" s="101">
        <v>44958</v>
      </c>
      <c r="I72" s="10">
        <v>1043</v>
      </c>
      <c r="J72" s="10">
        <v>44</v>
      </c>
      <c r="K72" s="10">
        <v>12</v>
      </c>
      <c r="M72" s="102">
        <v>4.2186001917545539</v>
      </c>
      <c r="N72" s="102">
        <v>3.2866398258747527</v>
      </c>
      <c r="O72" s="102"/>
      <c r="P72" s="102"/>
      <c r="Q72" s="103">
        <f>((J72)+(J73)+(J74))/((I72)+(I73)+(I74))*100</f>
        <v>3.3537568526281842</v>
      </c>
      <c r="R72" s="103">
        <f>100-(Q72)</f>
        <v>96.64624314737182</v>
      </c>
      <c r="W72" s="102"/>
      <c r="X72" s="10">
        <v>0</v>
      </c>
      <c r="Y72" s="1">
        <v>0</v>
      </c>
      <c r="Z72" s="10">
        <v>6.5</v>
      </c>
      <c r="AA72" s="10">
        <v>1</v>
      </c>
      <c r="AB72" s="10">
        <v>3</v>
      </c>
      <c r="AC72" s="10">
        <v>1</v>
      </c>
      <c r="AD72" s="10">
        <v>1</v>
      </c>
      <c r="AE72" s="10">
        <v>1</v>
      </c>
      <c r="AF72" s="10">
        <v>1</v>
      </c>
      <c r="AG72" s="10">
        <v>3054</v>
      </c>
      <c r="AH72" s="10">
        <v>0.06</v>
      </c>
      <c r="AI72" s="10">
        <v>0</v>
      </c>
      <c r="AJ72" s="10">
        <v>5093</v>
      </c>
      <c r="AK72" s="104">
        <v>3.8600000000000001E-3</v>
      </c>
      <c r="AL72" s="10">
        <v>0</v>
      </c>
    </row>
    <row r="73" spans="1:38" x14ac:dyDescent="0.3">
      <c r="C73" s="101">
        <v>44819</v>
      </c>
      <c r="E73" s="10">
        <v>2</v>
      </c>
      <c r="F73" s="10">
        <v>24</v>
      </c>
      <c r="G73" s="101">
        <v>44820</v>
      </c>
      <c r="H73" s="101">
        <v>44958</v>
      </c>
      <c r="I73" s="10">
        <v>1039</v>
      </c>
      <c r="J73" s="10">
        <v>27</v>
      </c>
      <c r="K73" s="10">
        <v>12</v>
      </c>
      <c r="M73" s="102">
        <v>2.598652550529355</v>
      </c>
      <c r="N73" s="102"/>
      <c r="O73" s="102"/>
      <c r="P73" s="102"/>
      <c r="Q73" s="103"/>
      <c r="R73" s="102"/>
      <c r="W73" s="102"/>
      <c r="Y73" s="1">
        <v>0</v>
      </c>
      <c r="AJ73" s="10">
        <v>5093</v>
      </c>
      <c r="AK73" s="104"/>
    </row>
    <row r="74" spans="1:38" x14ac:dyDescent="0.3">
      <c r="C74" s="101">
        <v>44819</v>
      </c>
      <c r="E74" s="10">
        <v>3</v>
      </c>
      <c r="F74" s="10">
        <v>24</v>
      </c>
      <c r="G74" s="101">
        <v>44820</v>
      </c>
      <c r="H74" s="101">
        <v>44958</v>
      </c>
      <c r="I74" s="10">
        <v>1019</v>
      </c>
      <c r="J74" s="10">
        <v>33</v>
      </c>
      <c r="K74" s="10">
        <v>15</v>
      </c>
      <c r="M74" s="102">
        <v>3.2384690873405302</v>
      </c>
      <c r="N74" s="102"/>
      <c r="O74" s="102"/>
      <c r="P74" s="102"/>
      <c r="Q74" s="103"/>
      <c r="R74" s="102"/>
      <c r="W74" s="102"/>
      <c r="Y74" s="1">
        <v>0</v>
      </c>
      <c r="AJ74" s="10">
        <v>5093</v>
      </c>
      <c r="AK74" s="104"/>
    </row>
    <row r="75" spans="1:38" x14ac:dyDescent="0.3">
      <c r="A75" s="10">
        <v>25</v>
      </c>
      <c r="B75" s="10">
        <v>10</v>
      </c>
      <c r="C75" s="101">
        <v>44809</v>
      </c>
      <c r="D75" s="10" t="s">
        <v>101</v>
      </c>
      <c r="E75" s="10">
        <v>1</v>
      </c>
      <c r="F75" s="10">
        <v>25</v>
      </c>
      <c r="G75" s="101">
        <v>44810</v>
      </c>
      <c r="H75" s="101">
        <v>44887</v>
      </c>
      <c r="I75" s="10">
        <v>1010</v>
      </c>
      <c r="J75" s="10">
        <v>150</v>
      </c>
      <c r="K75" s="10">
        <v>13</v>
      </c>
      <c r="M75" s="102">
        <v>14.85148514851485</v>
      </c>
      <c r="N75" s="102">
        <v>16.496725218669781</v>
      </c>
      <c r="O75" s="102"/>
      <c r="P75" s="102">
        <f>(N75)/($O$3)</f>
        <v>6.1662849207024708</v>
      </c>
      <c r="Q75" s="103">
        <f>((J75)+(J76)+(J77))/((I75)+(I76)+(I77))*100</f>
        <v>16.569200779727094</v>
      </c>
      <c r="R75" s="103">
        <f>100-(Q75)</f>
        <v>83.430799220272903</v>
      </c>
      <c r="S75" s="10">
        <v>973</v>
      </c>
      <c r="T75" s="10">
        <v>152</v>
      </c>
      <c r="U75" s="10">
        <v>12</v>
      </c>
      <c r="V75" s="102">
        <v>15.621788280000001</v>
      </c>
      <c r="W75" s="102">
        <f>GEOMEAN(V75:V77)</f>
        <v>17.3270545476122</v>
      </c>
      <c r="X75" s="10">
        <v>0</v>
      </c>
      <c r="Y75" s="1">
        <v>2</v>
      </c>
      <c r="Z75" s="10">
        <v>11.2</v>
      </c>
      <c r="AA75" s="10">
        <v>1</v>
      </c>
      <c r="AB75" s="10">
        <v>3</v>
      </c>
      <c r="AC75" s="10">
        <v>1</v>
      </c>
      <c r="AD75" s="10">
        <v>0</v>
      </c>
      <c r="AE75" s="10">
        <v>1</v>
      </c>
      <c r="AF75" s="10">
        <v>1</v>
      </c>
      <c r="AG75" s="10">
        <v>47704</v>
      </c>
      <c r="AH75" s="10">
        <v>1</v>
      </c>
      <c r="AI75" s="10">
        <v>0</v>
      </c>
      <c r="AJ75" s="10">
        <v>6001</v>
      </c>
      <c r="AK75" s="104">
        <v>1.0111399999999999</v>
      </c>
      <c r="AL75" s="10">
        <v>0</v>
      </c>
    </row>
    <row r="76" spans="1:38" x14ac:dyDescent="0.3">
      <c r="C76" s="101">
        <v>44809</v>
      </c>
      <c r="E76" s="10">
        <v>2</v>
      </c>
      <c r="F76" s="10">
        <v>25</v>
      </c>
      <c r="G76" s="101">
        <v>44810</v>
      </c>
      <c r="H76" s="101">
        <v>44887</v>
      </c>
      <c r="I76" s="10">
        <v>1038</v>
      </c>
      <c r="J76" s="10">
        <v>171</v>
      </c>
      <c r="K76" s="10">
        <v>8</v>
      </c>
      <c r="M76" s="102">
        <v>16.473988439306357</v>
      </c>
      <c r="N76" s="102"/>
      <c r="O76" s="102"/>
      <c r="P76" s="102"/>
      <c r="Q76" s="103"/>
      <c r="R76" s="102"/>
      <c r="S76" s="10">
        <v>1072</v>
      </c>
      <c r="T76" s="10">
        <v>174</v>
      </c>
      <c r="U76" s="10">
        <v>14</v>
      </c>
      <c r="V76" s="102">
        <v>16.231343280000001</v>
      </c>
      <c r="W76" s="102"/>
      <c r="Y76" s="1">
        <v>2</v>
      </c>
      <c r="AJ76" s="10">
        <v>6001</v>
      </c>
      <c r="AK76" s="104"/>
    </row>
    <row r="77" spans="1:38" x14ac:dyDescent="0.3">
      <c r="C77" s="101">
        <v>44809</v>
      </c>
      <c r="E77" s="10">
        <v>3</v>
      </c>
      <c r="F77" s="10">
        <v>25</v>
      </c>
      <c r="G77" s="101">
        <v>44810</v>
      </c>
      <c r="H77" s="101">
        <v>44887</v>
      </c>
      <c r="I77" s="10">
        <v>1030</v>
      </c>
      <c r="J77" s="10">
        <v>189</v>
      </c>
      <c r="K77" s="10">
        <v>15</v>
      </c>
      <c r="M77" s="102">
        <v>18.349514563106798</v>
      </c>
      <c r="N77" s="102"/>
      <c r="O77" s="102"/>
      <c r="P77" s="102"/>
      <c r="Q77" s="103"/>
      <c r="R77" s="102"/>
      <c r="S77" s="10">
        <v>853</v>
      </c>
      <c r="T77" s="10">
        <v>175</v>
      </c>
      <c r="U77" s="10">
        <v>11</v>
      </c>
      <c r="V77" s="102">
        <v>20.515826489999998</v>
      </c>
      <c r="W77" s="102"/>
      <c r="Y77" s="1">
        <v>2</v>
      </c>
      <c r="AJ77" s="10">
        <v>6001</v>
      </c>
      <c r="AK77" s="104"/>
    </row>
    <row r="78" spans="1:38" x14ac:dyDescent="0.3">
      <c r="A78" s="10">
        <v>26</v>
      </c>
      <c r="B78" s="10">
        <v>12</v>
      </c>
      <c r="C78" s="101">
        <v>44816</v>
      </c>
      <c r="D78" s="10" t="s">
        <v>101</v>
      </c>
      <c r="E78" s="10">
        <v>1</v>
      </c>
      <c r="F78" s="10">
        <v>26</v>
      </c>
      <c r="G78" s="101">
        <v>44817</v>
      </c>
      <c r="H78" s="101">
        <v>44894</v>
      </c>
      <c r="I78" s="10">
        <v>1037</v>
      </c>
      <c r="J78" s="10">
        <v>56</v>
      </c>
      <c r="K78" s="10">
        <v>19</v>
      </c>
      <c r="L78" s="10" t="s">
        <v>99</v>
      </c>
      <c r="M78" s="102">
        <v>5.4001928640308581</v>
      </c>
      <c r="N78" s="102">
        <v>4.8764458062286193</v>
      </c>
      <c r="O78" s="102"/>
      <c r="P78" s="102">
        <f>(N78)/($O$3)</f>
        <v>1.8227589926478154</v>
      </c>
      <c r="Q78" s="103">
        <f>((J78)+(J79)+(J80))/((I78)+(I79)+(I80))*100</f>
        <v>4.9115913555992137</v>
      </c>
      <c r="R78" s="103">
        <f>100-(Q78)</f>
        <v>95.088408644400786</v>
      </c>
      <c r="W78" s="102"/>
      <c r="X78" s="10">
        <v>0</v>
      </c>
      <c r="Y78" s="1">
        <v>1</v>
      </c>
      <c r="Z78" s="10">
        <v>7.8</v>
      </c>
      <c r="AA78" s="10">
        <v>1</v>
      </c>
      <c r="AB78" s="10">
        <v>3</v>
      </c>
      <c r="AC78" s="10">
        <v>2</v>
      </c>
      <c r="AD78" s="10">
        <v>0</v>
      </c>
      <c r="AE78" s="10">
        <v>1</v>
      </c>
      <c r="AF78" s="10">
        <v>1</v>
      </c>
      <c r="AG78" s="10">
        <v>8434</v>
      </c>
      <c r="AH78" s="10">
        <v>0.4</v>
      </c>
      <c r="AI78" s="10">
        <v>57</v>
      </c>
      <c r="AJ78" s="10">
        <v>863</v>
      </c>
      <c r="AK78" s="104">
        <v>7.1599999999999997E-3</v>
      </c>
      <c r="AL78" s="10">
        <v>0</v>
      </c>
    </row>
    <row r="79" spans="1:38" x14ac:dyDescent="0.3">
      <c r="C79" s="101">
        <v>44816</v>
      </c>
      <c r="E79" s="10">
        <v>2</v>
      </c>
      <c r="F79" s="10">
        <v>26</v>
      </c>
      <c r="G79" s="101">
        <v>44817</v>
      </c>
      <c r="H79" s="101">
        <v>44894</v>
      </c>
      <c r="I79" s="10">
        <v>1009</v>
      </c>
      <c r="J79" s="10">
        <v>42</v>
      </c>
      <c r="K79" s="10">
        <v>15</v>
      </c>
      <c r="L79" s="10" t="s">
        <v>99</v>
      </c>
      <c r="M79" s="102">
        <v>4.1625371655104066</v>
      </c>
      <c r="N79" s="102"/>
      <c r="O79" s="102"/>
      <c r="P79" s="102"/>
      <c r="Q79" s="103"/>
      <c r="R79" s="102"/>
      <c r="W79" s="102"/>
      <c r="Y79" s="1">
        <v>1</v>
      </c>
      <c r="AJ79" s="10">
        <v>863</v>
      </c>
      <c r="AK79" s="104"/>
    </row>
    <row r="80" spans="1:38" x14ac:dyDescent="0.3">
      <c r="C80" s="101">
        <v>44816</v>
      </c>
      <c r="E80" s="10">
        <v>3</v>
      </c>
      <c r="F80" s="10">
        <v>26</v>
      </c>
      <c r="G80" s="101">
        <v>44817</v>
      </c>
      <c r="H80" s="101">
        <v>44894</v>
      </c>
      <c r="I80" s="10">
        <v>1008</v>
      </c>
      <c r="J80" s="10">
        <v>52</v>
      </c>
      <c r="K80" s="10">
        <v>14</v>
      </c>
      <c r="L80" s="10" t="s">
        <v>99</v>
      </c>
      <c r="M80" s="102">
        <v>5.1587301587301582</v>
      </c>
      <c r="N80" s="102"/>
      <c r="O80" s="102"/>
      <c r="P80" s="102"/>
      <c r="Q80" s="103"/>
      <c r="R80" s="102"/>
      <c r="W80" s="102"/>
      <c r="Y80" s="1">
        <v>1</v>
      </c>
      <c r="AJ80" s="10">
        <v>863</v>
      </c>
      <c r="AK80" s="104"/>
    </row>
    <row r="81" spans="1:38" x14ac:dyDescent="0.3">
      <c r="A81" s="10">
        <v>27</v>
      </c>
      <c r="B81" s="10">
        <v>13</v>
      </c>
      <c r="C81" s="101">
        <v>44819</v>
      </c>
      <c r="D81" s="10" t="s">
        <v>101</v>
      </c>
      <c r="E81" s="10">
        <v>1</v>
      </c>
      <c r="F81" s="10">
        <v>27</v>
      </c>
      <c r="G81" s="101">
        <v>44820</v>
      </c>
      <c r="H81" s="101" t="s">
        <v>338</v>
      </c>
      <c r="I81" s="10">
        <v>1012</v>
      </c>
      <c r="J81" s="10">
        <v>63</v>
      </c>
      <c r="K81" s="10">
        <v>20</v>
      </c>
      <c r="M81" s="102">
        <v>6.2252964426877471</v>
      </c>
      <c r="N81" s="102">
        <v>5.5692922638553197</v>
      </c>
      <c r="O81" s="102"/>
      <c r="P81" s="102"/>
      <c r="Q81" s="103">
        <f>((J81)+(J82)+(J83))/((I81)+(I82)+(I83))*100</f>
        <v>5.7124097176625082</v>
      </c>
      <c r="R81" s="103">
        <f>100-(Q81)</f>
        <v>94.28759028233749</v>
      </c>
      <c r="W81" s="102"/>
      <c r="X81" s="10">
        <v>0</v>
      </c>
      <c r="Y81" s="1">
        <v>0</v>
      </c>
      <c r="Z81" s="10">
        <v>8</v>
      </c>
      <c r="AA81" s="10">
        <v>1</v>
      </c>
      <c r="AB81" s="10">
        <v>3</v>
      </c>
      <c r="AC81" s="10">
        <v>1</v>
      </c>
      <c r="AD81" s="10">
        <v>0</v>
      </c>
      <c r="AE81" s="10">
        <v>1</v>
      </c>
      <c r="AF81" s="10">
        <v>1</v>
      </c>
      <c r="AG81" s="10">
        <v>3648</v>
      </c>
      <c r="AH81" s="10">
        <v>7.0000000000000007E-2</v>
      </c>
      <c r="AI81" s="10">
        <v>0</v>
      </c>
      <c r="AJ81" s="10">
        <v>6704</v>
      </c>
      <c r="AK81" s="104">
        <v>3.4079999999999999E-2</v>
      </c>
      <c r="AL81" s="10">
        <v>0</v>
      </c>
    </row>
    <row r="82" spans="1:38" x14ac:dyDescent="0.3">
      <c r="C82" s="101">
        <v>44819</v>
      </c>
      <c r="E82" s="10">
        <v>2</v>
      </c>
      <c r="F82" s="10">
        <v>27</v>
      </c>
      <c r="G82" s="101">
        <v>44820</v>
      </c>
      <c r="H82" s="101" t="s">
        <v>338</v>
      </c>
      <c r="I82" s="10">
        <v>1017</v>
      </c>
      <c r="J82" s="10">
        <v>41</v>
      </c>
      <c r="K82" s="10">
        <v>27</v>
      </c>
      <c r="M82" s="102">
        <v>4.0314650934119962</v>
      </c>
      <c r="N82" s="102"/>
      <c r="O82" s="102"/>
      <c r="P82" s="102"/>
      <c r="Q82" s="103"/>
      <c r="R82" s="102"/>
      <c r="W82" s="102"/>
      <c r="Y82" s="1">
        <v>0</v>
      </c>
      <c r="AJ82" s="10">
        <v>6704</v>
      </c>
      <c r="AK82" s="104"/>
    </row>
    <row r="83" spans="1:38" x14ac:dyDescent="0.3">
      <c r="C83" s="101">
        <v>44819</v>
      </c>
      <c r="E83" s="10">
        <v>3</v>
      </c>
      <c r="F83" s="10">
        <v>27</v>
      </c>
      <c r="G83" s="101">
        <v>44820</v>
      </c>
      <c r="H83" s="101" t="s">
        <v>338</v>
      </c>
      <c r="I83" s="10">
        <v>1017</v>
      </c>
      <c r="J83" s="10">
        <v>70</v>
      </c>
      <c r="K83" s="10">
        <v>27</v>
      </c>
      <c r="M83" s="102">
        <v>6.8829891838741402</v>
      </c>
      <c r="N83" s="102"/>
      <c r="O83" s="102"/>
      <c r="P83" s="102"/>
      <c r="Q83" s="103"/>
      <c r="R83" s="102"/>
      <c r="W83" s="102"/>
      <c r="Y83" s="1">
        <v>0</v>
      </c>
      <c r="AJ83" s="10">
        <v>6704</v>
      </c>
      <c r="AK83" s="104"/>
    </row>
    <row r="84" spans="1:38" x14ac:dyDescent="0.3">
      <c r="A84" s="10">
        <v>28</v>
      </c>
      <c r="B84" s="10">
        <v>14</v>
      </c>
      <c r="C84" s="101">
        <v>44823</v>
      </c>
      <c r="D84" s="10" t="s">
        <v>101</v>
      </c>
      <c r="E84" s="10">
        <v>1</v>
      </c>
      <c r="F84" s="10">
        <v>28</v>
      </c>
      <c r="G84" s="101">
        <v>44824</v>
      </c>
      <c r="H84" s="101">
        <v>44958</v>
      </c>
      <c r="I84" s="10">
        <v>1053</v>
      </c>
      <c r="J84" s="10">
        <v>25</v>
      </c>
      <c r="K84" s="10">
        <v>12</v>
      </c>
      <c r="M84" s="102">
        <v>2.3741690408357075</v>
      </c>
      <c r="N84" s="102">
        <v>3.0366108832652405</v>
      </c>
      <c r="O84" s="102"/>
      <c r="P84" s="102"/>
      <c r="Q84" s="103">
        <f>((J84)+(J85)+(J86))/((I84)+(I85)+(I86))*100</f>
        <v>3.069888961463096</v>
      </c>
      <c r="R84" s="103">
        <f>100-(Q84)</f>
        <v>96.930111038536907</v>
      </c>
      <c r="W84" s="102"/>
      <c r="X84" s="10">
        <v>0</v>
      </c>
      <c r="Y84" s="1">
        <v>0</v>
      </c>
      <c r="Z84" s="10">
        <v>7.9</v>
      </c>
      <c r="AA84" s="10">
        <v>0</v>
      </c>
      <c r="AB84" s="10">
        <v>3</v>
      </c>
      <c r="AC84" s="10">
        <v>1</v>
      </c>
      <c r="AD84" s="10">
        <v>0</v>
      </c>
      <c r="AE84" s="10">
        <v>1</v>
      </c>
      <c r="AF84" s="10">
        <v>1</v>
      </c>
      <c r="AG84" s="10">
        <v>1818</v>
      </c>
      <c r="AH84" s="10">
        <v>0.06</v>
      </c>
      <c r="AI84" s="10">
        <v>0</v>
      </c>
      <c r="AJ84" s="10">
        <v>68</v>
      </c>
      <c r="AK84" s="104">
        <v>0.10036</v>
      </c>
      <c r="AL84" s="10">
        <v>0</v>
      </c>
    </row>
    <row r="85" spans="1:38" x14ac:dyDescent="0.3">
      <c r="C85" s="101">
        <v>44823</v>
      </c>
      <c r="E85" s="10">
        <v>2</v>
      </c>
      <c r="F85" s="10">
        <v>28</v>
      </c>
      <c r="G85" s="101">
        <v>44824</v>
      </c>
      <c r="H85" s="101">
        <v>44958</v>
      </c>
      <c r="I85" s="10">
        <v>1000</v>
      </c>
      <c r="J85" s="10">
        <v>34</v>
      </c>
      <c r="K85" s="10">
        <v>12</v>
      </c>
      <c r="M85" s="102">
        <v>3.4000000000000004</v>
      </c>
      <c r="N85" s="102"/>
      <c r="O85" s="102"/>
      <c r="P85" s="102"/>
      <c r="Q85" s="103"/>
      <c r="R85" s="102"/>
      <c r="W85" s="102"/>
      <c r="Y85" s="1">
        <v>0</v>
      </c>
      <c r="AJ85" s="10">
        <v>68</v>
      </c>
      <c r="AK85" s="104"/>
    </row>
    <row r="86" spans="1:38" x14ac:dyDescent="0.3">
      <c r="C86" s="101">
        <v>44823</v>
      </c>
      <c r="E86" s="10">
        <v>3</v>
      </c>
      <c r="F86" s="10">
        <v>28</v>
      </c>
      <c r="G86" s="101">
        <v>44824</v>
      </c>
      <c r="H86" s="101">
        <v>44958</v>
      </c>
      <c r="I86" s="10">
        <v>1009</v>
      </c>
      <c r="J86" s="10">
        <v>35</v>
      </c>
      <c r="K86" s="10">
        <v>38</v>
      </c>
      <c r="M86" s="102">
        <v>3.4687809712586719</v>
      </c>
      <c r="N86" s="102"/>
      <c r="O86" s="102"/>
      <c r="P86" s="102"/>
      <c r="Q86" s="103"/>
      <c r="R86" s="102"/>
      <c r="W86" s="102"/>
      <c r="Y86" s="1">
        <v>0</v>
      </c>
      <c r="AJ86" s="10">
        <v>68</v>
      </c>
      <c r="AK86" s="104"/>
    </row>
    <row r="87" spans="1:38" x14ac:dyDescent="0.3">
      <c r="A87" s="10">
        <v>29</v>
      </c>
      <c r="B87" s="10">
        <v>13</v>
      </c>
      <c r="C87" s="101">
        <v>44819</v>
      </c>
      <c r="D87" s="10" t="s">
        <v>101</v>
      </c>
      <c r="E87" s="10">
        <v>1</v>
      </c>
      <c r="F87" s="10">
        <v>29</v>
      </c>
      <c r="G87" s="101">
        <v>44820</v>
      </c>
      <c r="H87" s="101" t="s">
        <v>338</v>
      </c>
      <c r="I87" s="10">
        <v>1153</v>
      </c>
      <c r="J87" s="10">
        <v>48</v>
      </c>
      <c r="K87" s="10">
        <v>5</v>
      </c>
      <c r="M87" s="102">
        <v>4.1630529054640073</v>
      </c>
      <c r="N87" s="102">
        <v>3.7525235164150312</v>
      </c>
      <c r="O87" s="102"/>
      <c r="P87" s="102"/>
      <c r="Q87" s="103">
        <f>((J87)+(J88)+(J89))/((I87)+(I88)+(I89))*100</f>
        <v>3.8153846153846156</v>
      </c>
      <c r="R87" s="103">
        <f>100-(Q87)</f>
        <v>96.184615384615384</v>
      </c>
      <c r="S87" s="10">
        <v>1194</v>
      </c>
      <c r="T87" s="10">
        <v>80</v>
      </c>
      <c r="U87" s="10">
        <v>3</v>
      </c>
      <c r="V87" s="102">
        <v>6.7001675040000004</v>
      </c>
      <c r="W87" s="102">
        <f>GEOMEAN(V87:V89)</f>
        <v>5.8162997481901479</v>
      </c>
      <c r="X87" s="10">
        <v>0</v>
      </c>
      <c r="Y87" s="1">
        <v>0</v>
      </c>
      <c r="Z87" s="10">
        <v>7.5</v>
      </c>
      <c r="AA87" s="10">
        <v>1</v>
      </c>
      <c r="AB87" s="10">
        <v>3</v>
      </c>
      <c r="AC87" s="10">
        <v>2</v>
      </c>
      <c r="AD87" s="10">
        <v>1</v>
      </c>
      <c r="AE87" s="10">
        <v>1</v>
      </c>
      <c r="AF87" s="10">
        <v>1</v>
      </c>
      <c r="AG87" s="10">
        <v>30333</v>
      </c>
      <c r="AH87" s="10">
        <v>0.6</v>
      </c>
      <c r="AI87" s="10">
        <v>0</v>
      </c>
      <c r="AJ87" s="10">
        <v>50130</v>
      </c>
      <c r="AK87" s="104">
        <v>4.5999999999999999E-3</v>
      </c>
      <c r="AL87" s="10">
        <v>0</v>
      </c>
    </row>
    <row r="88" spans="1:38" x14ac:dyDescent="0.3">
      <c r="C88" s="101">
        <v>44819</v>
      </c>
      <c r="E88" s="10">
        <v>2</v>
      </c>
      <c r="F88" s="10">
        <v>29</v>
      </c>
      <c r="G88" s="101">
        <v>44820</v>
      </c>
      <c r="H88" s="101" t="s">
        <v>338</v>
      </c>
      <c r="I88" s="10">
        <v>1031</v>
      </c>
      <c r="J88" s="10">
        <v>45</v>
      </c>
      <c r="K88" s="10">
        <v>4</v>
      </c>
      <c r="M88" s="102">
        <v>4.3646944713870033</v>
      </c>
      <c r="N88" s="102"/>
      <c r="O88" s="102"/>
      <c r="P88" s="102"/>
      <c r="Q88" s="103"/>
      <c r="R88" s="102"/>
      <c r="S88" s="10">
        <v>1785</v>
      </c>
      <c r="T88" s="10">
        <v>77</v>
      </c>
      <c r="U88" s="10">
        <v>3</v>
      </c>
      <c r="V88" s="102">
        <v>4.3137254900000004</v>
      </c>
      <c r="W88" s="102"/>
      <c r="Y88" s="1">
        <v>0</v>
      </c>
      <c r="AJ88" s="10">
        <v>50130</v>
      </c>
      <c r="AK88" s="104"/>
    </row>
    <row r="89" spans="1:38" x14ac:dyDescent="0.3">
      <c r="C89" s="101">
        <v>44819</v>
      </c>
      <c r="E89" s="10">
        <v>3</v>
      </c>
      <c r="F89" s="10">
        <v>29</v>
      </c>
      <c r="G89" s="101">
        <v>44820</v>
      </c>
      <c r="H89" s="101" t="s">
        <v>338</v>
      </c>
      <c r="I89" s="10">
        <v>1066</v>
      </c>
      <c r="J89" s="10">
        <v>31</v>
      </c>
      <c r="K89" s="10">
        <v>5</v>
      </c>
      <c r="M89" s="102">
        <v>2.908067542213884</v>
      </c>
      <c r="N89" s="102"/>
      <c r="O89" s="102"/>
      <c r="P89" s="102"/>
      <c r="Q89" s="103"/>
      <c r="R89" s="102"/>
      <c r="S89" s="10">
        <v>1087</v>
      </c>
      <c r="T89" s="10">
        <v>74</v>
      </c>
      <c r="U89" s="10">
        <v>3</v>
      </c>
      <c r="V89" s="102">
        <v>6.8077276910000002</v>
      </c>
      <c r="W89" s="102"/>
      <c r="Y89" s="1">
        <v>0</v>
      </c>
      <c r="AJ89" s="10">
        <v>50130</v>
      </c>
      <c r="AK89" s="104"/>
    </row>
    <row r="90" spans="1:38" x14ac:dyDescent="0.3">
      <c r="A90" s="10">
        <v>30</v>
      </c>
      <c r="B90" s="10">
        <v>12</v>
      </c>
      <c r="C90" s="101">
        <v>44816</v>
      </c>
      <c r="D90" s="10" t="s">
        <v>101</v>
      </c>
      <c r="E90" s="10">
        <v>1</v>
      </c>
      <c r="F90" s="10">
        <v>30</v>
      </c>
      <c r="G90" s="101">
        <v>44817</v>
      </c>
      <c r="H90" s="101">
        <v>44890</v>
      </c>
      <c r="I90" s="10">
        <v>1012</v>
      </c>
      <c r="J90" s="10">
        <v>42</v>
      </c>
      <c r="K90" s="10">
        <v>28</v>
      </c>
      <c r="M90" s="102">
        <v>4.150197628458498</v>
      </c>
      <c r="N90" s="102">
        <v>4.7315131829735559</v>
      </c>
      <c r="O90" s="102"/>
      <c r="P90" s="102">
        <f>(N90)/($O$3)</f>
        <v>1.7685848558146378</v>
      </c>
      <c r="Q90" s="103">
        <f>((J90)+(J91)+(J92))/((I90)+(I91)+(I92))*100</f>
        <v>4.7540983606557372</v>
      </c>
      <c r="R90" s="103">
        <f>100-(Q90)</f>
        <v>95.245901639344268</v>
      </c>
      <c r="W90" s="102"/>
      <c r="X90" s="10">
        <v>0</v>
      </c>
      <c r="Y90" s="1">
        <v>1</v>
      </c>
      <c r="Z90" s="10">
        <v>8.1</v>
      </c>
      <c r="AA90" s="10">
        <v>0</v>
      </c>
      <c r="AB90" s="10">
        <v>3</v>
      </c>
      <c r="AC90" s="10">
        <v>2</v>
      </c>
      <c r="AD90" s="10">
        <v>1</v>
      </c>
      <c r="AE90" s="10">
        <v>1</v>
      </c>
      <c r="AF90" s="10">
        <v>1</v>
      </c>
      <c r="AG90" s="10">
        <v>1605</v>
      </c>
      <c r="AH90" s="10">
        <v>0.3</v>
      </c>
      <c r="AI90" s="10">
        <v>0</v>
      </c>
      <c r="AJ90" s="10">
        <v>54</v>
      </c>
      <c r="AK90" s="11">
        <v>3.0799999999999998E-3</v>
      </c>
      <c r="AL90" s="10">
        <v>0</v>
      </c>
    </row>
    <row r="91" spans="1:38" x14ac:dyDescent="0.3">
      <c r="C91" s="101">
        <v>44816</v>
      </c>
      <c r="E91" s="10">
        <v>2</v>
      </c>
      <c r="F91" s="10">
        <v>30</v>
      </c>
      <c r="G91" s="101">
        <v>44817</v>
      </c>
      <c r="H91" s="101">
        <v>44890</v>
      </c>
      <c r="I91" s="10">
        <v>1028</v>
      </c>
      <c r="J91" s="10">
        <v>50</v>
      </c>
      <c r="K91" s="10">
        <v>19</v>
      </c>
      <c r="M91" s="102">
        <v>4.8638132295719849</v>
      </c>
      <c r="N91" s="102"/>
      <c r="O91" s="102"/>
      <c r="P91" s="102"/>
      <c r="Q91" s="103"/>
      <c r="R91" s="102"/>
      <c r="W91" s="102"/>
      <c r="Y91" s="1">
        <v>1</v>
      </c>
      <c r="AJ91" s="10">
        <v>54</v>
      </c>
    </row>
    <row r="92" spans="1:38" x14ac:dyDescent="0.3">
      <c r="C92" s="101">
        <v>44816</v>
      </c>
      <c r="E92" s="10">
        <v>3</v>
      </c>
      <c r="F92" s="10">
        <v>30</v>
      </c>
      <c r="G92" s="101">
        <v>44817</v>
      </c>
      <c r="H92" s="101">
        <v>44890</v>
      </c>
      <c r="I92" s="10">
        <v>1010</v>
      </c>
      <c r="J92" s="10">
        <v>53</v>
      </c>
      <c r="K92" s="10">
        <v>29</v>
      </c>
      <c r="M92" s="102">
        <v>5.2475247524752477</v>
      </c>
      <c r="N92" s="102"/>
      <c r="O92" s="102"/>
      <c r="P92" s="102"/>
      <c r="Q92" s="103"/>
      <c r="R92" s="102"/>
      <c r="W92" s="102"/>
      <c r="Y92" s="1">
        <v>1</v>
      </c>
      <c r="AJ92" s="10">
        <v>54</v>
      </c>
    </row>
    <row r="93" spans="1:38" x14ac:dyDescent="0.3">
      <c r="A93" s="10">
        <v>31</v>
      </c>
      <c r="B93" s="10">
        <v>15</v>
      </c>
      <c r="C93" s="101">
        <v>44826</v>
      </c>
      <c r="D93" s="10" t="s">
        <v>101</v>
      </c>
      <c r="E93" s="10">
        <v>1</v>
      </c>
      <c r="F93" s="10">
        <v>31</v>
      </c>
      <c r="G93" s="101">
        <v>44827</v>
      </c>
      <c r="H93" s="101" t="s">
        <v>339</v>
      </c>
      <c r="I93" s="10">
        <v>1000</v>
      </c>
      <c r="J93" s="10">
        <v>58</v>
      </c>
      <c r="K93" s="10">
        <v>70</v>
      </c>
      <c r="L93" s="10" t="s">
        <v>99</v>
      </c>
      <c r="M93" s="102">
        <v>5.8000000000000007</v>
      </c>
      <c r="N93" s="102">
        <v>5.4760658994665317</v>
      </c>
      <c r="O93" s="102"/>
      <c r="P93" s="102">
        <f>(N93)/($O$3)</f>
        <v>2.0468900422999408</v>
      </c>
      <c r="Q93" s="103">
        <f>((J93)+(J94)+(J95))/((I93)+(I94)+(I95))*100</f>
        <v>5.5102706227583962</v>
      </c>
      <c r="R93" s="103">
        <f>100-(Q93)</f>
        <v>94.489729377241602</v>
      </c>
      <c r="W93" s="102"/>
      <c r="X93" s="10">
        <v>0</v>
      </c>
      <c r="Y93" s="1">
        <v>1</v>
      </c>
      <c r="Z93" s="10">
        <v>5.3</v>
      </c>
      <c r="AA93" s="10">
        <v>0</v>
      </c>
      <c r="AB93" s="10">
        <v>4</v>
      </c>
      <c r="AC93" s="10">
        <v>1</v>
      </c>
      <c r="AD93" s="10">
        <v>0</v>
      </c>
      <c r="AE93" s="10">
        <v>1</v>
      </c>
      <c r="AF93" s="10">
        <v>1</v>
      </c>
      <c r="AG93" s="10">
        <v>9569</v>
      </c>
      <c r="AH93" s="10">
        <v>0.1</v>
      </c>
      <c r="AI93" s="10">
        <v>78</v>
      </c>
      <c r="AJ93" s="10">
        <v>5665</v>
      </c>
      <c r="AK93" s="104">
        <v>0.30330000000000001</v>
      </c>
      <c r="AL93" s="10">
        <v>0</v>
      </c>
    </row>
    <row r="94" spans="1:38" x14ac:dyDescent="0.3">
      <c r="C94" s="101">
        <v>44826</v>
      </c>
      <c r="E94" s="10">
        <v>2</v>
      </c>
      <c r="F94" s="10">
        <v>31</v>
      </c>
      <c r="G94" s="101">
        <v>44827</v>
      </c>
      <c r="H94" s="101" t="s">
        <v>339</v>
      </c>
      <c r="I94" s="10">
        <v>1040</v>
      </c>
      <c r="J94" s="10">
        <v>48</v>
      </c>
      <c r="K94" s="10">
        <v>24</v>
      </c>
      <c r="L94" s="10" t="s">
        <v>99</v>
      </c>
      <c r="M94" s="102">
        <v>4.6153846153846159</v>
      </c>
      <c r="N94" s="102"/>
      <c r="O94" s="102"/>
      <c r="P94" s="102"/>
      <c r="Q94" s="103"/>
      <c r="R94" s="102"/>
      <c r="W94" s="102"/>
      <c r="Y94" s="1">
        <v>1</v>
      </c>
      <c r="AJ94" s="10">
        <v>5665</v>
      </c>
      <c r="AK94" s="104"/>
    </row>
    <row r="95" spans="1:38" x14ac:dyDescent="0.3">
      <c r="C95" s="101">
        <v>44826</v>
      </c>
      <c r="E95" s="10">
        <v>3</v>
      </c>
      <c r="F95" s="10">
        <v>31</v>
      </c>
      <c r="G95" s="101">
        <v>44827</v>
      </c>
      <c r="H95" s="101" t="s">
        <v>339</v>
      </c>
      <c r="I95" s="10">
        <v>1027</v>
      </c>
      <c r="J95" s="10">
        <v>63</v>
      </c>
      <c r="K95" s="10">
        <v>46</v>
      </c>
      <c r="L95" s="10" t="s">
        <v>99</v>
      </c>
      <c r="M95" s="102">
        <v>6.134371957156767</v>
      </c>
      <c r="N95" s="102"/>
      <c r="O95" s="102"/>
      <c r="P95" s="102"/>
      <c r="Q95" s="103"/>
      <c r="R95" s="102"/>
      <c r="W95" s="102"/>
      <c r="Y95" s="1">
        <v>1</v>
      </c>
      <c r="AJ95" s="10">
        <v>5665</v>
      </c>
      <c r="AK95" s="104"/>
    </row>
    <row r="96" spans="1:38" x14ac:dyDescent="0.3">
      <c r="A96" s="10">
        <v>32</v>
      </c>
      <c r="B96" s="10">
        <v>15</v>
      </c>
      <c r="C96" s="101">
        <v>44826</v>
      </c>
      <c r="D96" s="10" t="s">
        <v>101</v>
      </c>
      <c r="E96" s="10">
        <v>1</v>
      </c>
      <c r="F96" s="10">
        <v>32</v>
      </c>
      <c r="G96" s="101">
        <v>44827</v>
      </c>
      <c r="H96" s="101" t="s">
        <v>340</v>
      </c>
      <c r="I96" s="10">
        <v>1013</v>
      </c>
      <c r="J96" s="10">
        <v>304</v>
      </c>
      <c r="K96" s="10">
        <v>84</v>
      </c>
      <c r="L96" s="10" t="s">
        <v>99</v>
      </c>
      <c r="M96" s="102">
        <v>30.009871668311945</v>
      </c>
      <c r="N96" s="102">
        <v>32.422965902877017</v>
      </c>
      <c r="O96" s="102"/>
      <c r="P96" s="102">
        <f>(N96)/($O$3)</f>
        <v>12.119329326349918</v>
      </c>
      <c r="Q96" s="103">
        <f>((J96)+(J97)+(J98))/((I96)+(I97)+(I98))*100</f>
        <v>32.726068234514742</v>
      </c>
      <c r="R96" s="103">
        <f>100-(Q96)</f>
        <v>67.273931765485258</v>
      </c>
      <c r="W96" s="102"/>
      <c r="X96" s="10">
        <v>0</v>
      </c>
      <c r="Y96" s="1">
        <v>2</v>
      </c>
      <c r="Z96" s="10">
        <v>7</v>
      </c>
      <c r="AA96" s="10">
        <v>0</v>
      </c>
      <c r="AB96" s="10">
        <v>4</v>
      </c>
      <c r="AC96" s="10">
        <v>1</v>
      </c>
      <c r="AD96" s="10">
        <v>0</v>
      </c>
      <c r="AE96" s="10">
        <v>1</v>
      </c>
      <c r="AF96" s="10">
        <v>1</v>
      </c>
      <c r="AG96" s="10">
        <v>3600</v>
      </c>
      <c r="AH96" s="10">
        <v>7.0000000000000007E-2</v>
      </c>
      <c r="AI96" s="10">
        <v>0</v>
      </c>
      <c r="AJ96" s="10">
        <v>3380</v>
      </c>
      <c r="AK96" s="104">
        <v>6.7610000000000003E-2</v>
      </c>
      <c r="AL96" s="10">
        <v>0</v>
      </c>
    </row>
    <row r="97" spans="3:36" x14ac:dyDescent="0.3">
      <c r="C97" s="101">
        <v>44826</v>
      </c>
      <c r="E97" s="10">
        <v>2</v>
      </c>
      <c r="F97" s="10">
        <v>32</v>
      </c>
      <c r="G97" s="101">
        <v>44827</v>
      </c>
      <c r="H97" s="101" t="s">
        <v>340</v>
      </c>
      <c r="I97" s="10">
        <v>1001</v>
      </c>
      <c r="J97" s="10">
        <v>394</v>
      </c>
      <c r="K97" s="10">
        <v>96</v>
      </c>
      <c r="L97" s="10" t="s">
        <v>99</v>
      </c>
      <c r="M97" s="102">
        <v>39.360639360639361</v>
      </c>
      <c r="Q97" s="104"/>
      <c r="Y97" s="1">
        <v>2</v>
      </c>
      <c r="AJ97" s="10">
        <v>3380</v>
      </c>
    </row>
    <row r="98" spans="3:36" x14ac:dyDescent="0.3">
      <c r="C98" s="101">
        <v>44826</v>
      </c>
      <c r="E98" s="10">
        <v>3</v>
      </c>
      <c r="F98" s="10">
        <v>32</v>
      </c>
      <c r="G98" s="101">
        <v>44827</v>
      </c>
      <c r="H98" s="101" t="s">
        <v>340</v>
      </c>
      <c r="I98" s="10">
        <v>1005</v>
      </c>
      <c r="J98" s="10">
        <v>290</v>
      </c>
      <c r="K98" s="10">
        <v>135</v>
      </c>
      <c r="L98" s="10" t="s">
        <v>99</v>
      </c>
      <c r="M98" s="102">
        <v>28.855721393034827</v>
      </c>
      <c r="Q98" s="104"/>
      <c r="Y98" s="1">
        <v>2</v>
      </c>
      <c r="AJ98" s="10">
        <v>3380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9012-A74D-4637-A2A8-BF1BC98D0A4D}">
  <sheetPr>
    <tabColor theme="9" tint="0.79998168889431442"/>
  </sheetPr>
  <dimension ref="A1:G34"/>
  <sheetViews>
    <sheetView workbookViewId="0">
      <selection activeCell="B15" sqref="B15"/>
    </sheetView>
  </sheetViews>
  <sheetFormatPr defaultRowHeight="14.4" x14ac:dyDescent="0.3"/>
  <cols>
    <col min="1" max="1" width="38.44140625" style="4" bestFit="1" customWidth="1"/>
    <col min="2" max="2" width="134.77734375" bestFit="1" customWidth="1"/>
    <col min="3" max="3" width="33.6640625" customWidth="1"/>
    <col min="4" max="4" width="43.88671875" bestFit="1" customWidth="1"/>
    <col min="5" max="5" width="18.77734375" customWidth="1"/>
    <col min="6" max="6" width="11.5546875" bestFit="1" customWidth="1"/>
  </cols>
  <sheetData>
    <row r="1" spans="1:7" x14ac:dyDescent="0.3">
      <c r="A1" s="2" t="s">
        <v>14</v>
      </c>
      <c r="B1" s="3" t="s">
        <v>15</v>
      </c>
      <c r="C1" s="3" t="s">
        <v>16</v>
      </c>
      <c r="D1" s="3" t="s">
        <v>17</v>
      </c>
      <c r="E1" s="3" t="s">
        <v>18</v>
      </c>
      <c r="F1" s="66" t="s">
        <v>111</v>
      </c>
    </row>
    <row r="2" spans="1:7" x14ac:dyDescent="0.3">
      <c r="A2" s="4" t="s">
        <v>19</v>
      </c>
      <c r="B2" t="s">
        <v>631</v>
      </c>
      <c r="E2" t="s">
        <v>20</v>
      </c>
    </row>
    <row r="3" spans="1:7" x14ac:dyDescent="0.3">
      <c r="A3" s="4" t="s">
        <v>169</v>
      </c>
      <c r="B3" s="59" t="s">
        <v>96</v>
      </c>
      <c r="C3" s="59" t="s">
        <v>94</v>
      </c>
      <c r="D3" s="59" t="s">
        <v>97</v>
      </c>
      <c r="E3" t="s">
        <v>24</v>
      </c>
    </row>
    <row r="4" spans="1:7" x14ac:dyDescent="0.3">
      <c r="A4" s="4" t="s">
        <v>166</v>
      </c>
      <c r="B4" s="59" t="s">
        <v>297</v>
      </c>
      <c r="C4" s="59" t="s">
        <v>166</v>
      </c>
      <c r="D4" s="59"/>
      <c r="E4" s="26" t="s">
        <v>379</v>
      </c>
      <c r="F4" s="1"/>
    </row>
    <row r="5" spans="1:7" x14ac:dyDescent="0.3">
      <c r="A5" s="4" t="s">
        <v>98</v>
      </c>
      <c r="B5" s="59" t="s">
        <v>104</v>
      </c>
      <c r="C5" s="59" t="s">
        <v>98</v>
      </c>
      <c r="D5" s="59" t="s">
        <v>106</v>
      </c>
      <c r="E5" t="s">
        <v>24</v>
      </c>
    </row>
    <row r="6" spans="1:7" x14ac:dyDescent="0.3">
      <c r="A6" s="24" t="s">
        <v>168</v>
      </c>
      <c r="B6" s="59" t="s">
        <v>105</v>
      </c>
      <c r="C6" s="59" t="s">
        <v>103</v>
      </c>
      <c r="D6" s="59"/>
      <c r="E6" t="s">
        <v>27</v>
      </c>
      <c r="F6" s="67"/>
    </row>
    <row r="7" spans="1:7" x14ac:dyDescent="0.3">
      <c r="A7" s="4" t="s">
        <v>569</v>
      </c>
      <c r="B7" t="s">
        <v>570</v>
      </c>
      <c r="C7" t="s">
        <v>569</v>
      </c>
      <c r="D7" t="s">
        <v>569</v>
      </c>
      <c r="E7" t="s">
        <v>571</v>
      </c>
    </row>
    <row r="8" spans="1:7" x14ac:dyDescent="0.3">
      <c r="A8" s="24" t="s">
        <v>165</v>
      </c>
      <c r="B8" s="59" t="s">
        <v>298</v>
      </c>
      <c r="C8" s="59" t="s">
        <v>165</v>
      </c>
      <c r="D8" s="59"/>
      <c r="E8" t="s">
        <v>379</v>
      </c>
      <c r="F8" s="67"/>
    </row>
    <row r="9" spans="1:7" x14ac:dyDescent="0.3">
      <c r="A9" s="24" t="s">
        <v>299</v>
      </c>
      <c r="B9" s="59" t="s">
        <v>300</v>
      </c>
      <c r="C9" s="59" t="s">
        <v>301</v>
      </c>
      <c r="D9" s="59"/>
      <c r="E9" t="s">
        <v>379</v>
      </c>
      <c r="F9" s="67" t="s">
        <v>452</v>
      </c>
      <c r="G9" s="59"/>
    </row>
    <row r="10" spans="1:7" x14ac:dyDescent="0.3">
      <c r="A10" s="24" t="s">
        <v>567</v>
      </c>
      <c r="B10" s="59" t="s">
        <v>107</v>
      </c>
      <c r="C10" s="59" t="s">
        <v>80</v>
      </c>
      <c r="D10" s="59"/>
      <c r="E10" t="s">
        <v>27</v>
      </c>
      <c r="F10" s="67" t="s">
        <v>302</v>
      </c>
    </row>
    <row r="11" spans="1:7" x14ac:dyDescent="0.3">
      <c r="A11" s="24" t="s">
        <v>568</v>
      </c>
      <c r="B11" s="59" t="s">
        <v>504</v>
      </c>
      <c r="C11" s="59" t="s">
        <v>81</v>
      </c>
      <c r="D11" s="59"/>
      <c r="E11" t="s">
        <v>27</v>
      </c>
      <c r="F11" s="67" t="s">
        <v>302</v>
      </c>
    </row>
    <row r="12" spans="1:7" x14ac:dyDescent="0.3">
      <c r="A12" s="24" t="s">
        <v>82</v>
      </c>
      <c r="B12" s="59" t="s">
        <v>108</v>
      </c>
      <c r="C12" s="59" t="s">
        <v>82</v>
      </c>
      <c r="D12" s="59"/>
      <c r="E12" t="s">
        <v>27</v>
      </c>
      <c r="F12" s="67" t="s">
        <v>302</v>
      </c>
    </row>
    <row r="13" spans="1:7" x14ac:dyDescent="0.3">
      <c r="A13" s="24" t="s">
        <v>102</v>
      </c>
      <c r="B13" s="59" t="s">
        <v>324</v>
      </c>
      <c r="C13" s="59" t="s">
        <v>102</v>
      </c>
      <c r="D13" s="59" t="s">
        <v>106</v>
      </c>
      <c r="E13" t="s">
        <v>24</v>
      </c>
      <c r="F13" s="67" t="s">
        <v>453</v>
      </c>
    </row>
    <row r="14" spans="1:7" x14ac:dyDescent="0.3">
      <c r="A14" s="24" t="s">
        <v>100</v>
      </c>
      <c r="B14" s="59" t="s">
        <v>109</v>
      </c>
      <c r="C14" s="59" t="s">
        <v>100</v>
      </c>
      <c r="D14" s="59"/>
      <c r="E14" t="s">
        <v>27</v>
      </c>
      <c r="F14" s="67" t="s">
        <v>302</v>
      </c>
    </row>
    <row r="15" spans="1:7" x14ac:dyDescent="0.3">
      <c r="A15" s="24" t="s">
        <v>3</v>
      </c>
      <c r="B15" s="59" t="s">
        <v>110</v>
      </c>
      <c r="C15" s="59" t="s">
        <v>3</v>
      </c>
      <c r="D15" s="59"/>
      <c r="E15" t="s">
        <v>27</v>
      </c>
      <c r="F15" s="67" t="s">
        <v>302</v>
      </c>
    </row>
    <row r="16" spans="1:7" x14ac:dyDescent="0.3">
      <c r="A16" s="24" t="s">
        <v>321</v>
      </c>
      <c r="B16" s="59" t="s">
        <v>322</v>
      </c>
      <c r="C16" s="59" t="s">
        <v>321</v>
      </c>
      <c r="D16" s="59"/>
      <c r="E16" t="s">
        <v>27</v>
      </c>
      <c r="F16" s="67" t="s">
        <v>327</v>
      </c>
    </row>
    <row r="17" spans="1:6" x14ac:dyDescent="0.3">
      <c r="A17" s="24" t="s">
        <v>320</v>
      </c>
      <c r="B17" s="59" t="s">
        <v>323</v>
      </c>
      <c r="C17" s="59" t="s">
        <v>320</v>
      </c>
      <c r="D17" s="59"/>
      <c r="E17" t="s">
        <v>27</v>
      </c>
      <c r="F17" s="67" t="s">
        <v>327</v>
      </c>
    </row>
    <row r="18" spans="1:6" x14ac:dyDescent="0.3">
      <c r="A18" s="24" t="s">
        <v>328</v>
      </c>
      <c r="B18" s="59" t="s">
        <v>316</v>
      </c>
      <c r="C18" s="59" t="s">
        <v>318</v>
      </c>
      <c r="D18" s="59"/>
      <c r="E18" t="s">
        <v>27</v>
      </c>
      <c r="F18" s="67" t="s">
        <v>327</v>
      </c>
    </row>
    <row r="19" spans="1:6" x14ac:dyDescent="0.3">
      <c r="A19" s="24" t="s">
        <v>329</v>
      </c>
      <c r="B19" s="59" t="s">
        <v>317</v>
      </c>
      <c r="C19" s="59" t="s">
        <v>319</v>
      </c>
      <c r="D19" s="59"/>
      <c r="E19" t="s">
        <v>27</v>
      </c>
      <c r="F19" s="67" t="s">
        <v>327</v>
      </c>
    </row>
    <row r="20" spans="1:6" x14ac:dyDescent="0.3">
      <c r="A20" s="4" t="s">
        <v>1</v>
      </c>
      <c r="B20" t="s">
        <v>21</v>
      </c>
      <c r="C20" t="s">
        <v>22</v>
      </c>
      <c r="D20" t="s">
        <v>23</v>
      </c>
      <c r="E20" t="s">
        <v>24</v>
      </c>
    </row>
    <row r="21" spans="1:6" x14ac:dyDescent="0.3">
      <c r="A21" s="4" t="s">
        <v>2</v>
      </c>
      <c r="B21" t="s">
        <v>25</v>
      </c>
      <c r="C21" t="s">
        <v>2</v>
      </c>
      <c r="D21" t="s">
        <v>26</v>
      </c>
      <c r="E21" t="s">
        <v>24</v>
      </c>
    </row>
    <row r="22" spans="1:6" x14ac:dyDescent="0.3">
      <c r="A22" s="4" t="s">
        <v>4</v>
      </c>
      <c r="B22" t="s">
        <v>630</v>
      </c>
      <c r="C22" t="s">
        <v>4</v>
      </c>
      <c r="E22" t="s">
        <v>27</v>
      </c>
    </row>
    <row r="23" spans="1:6" x14ac:dyDescent="0.3">
      <c r="A23" s="4" t="s">
        <v>5</v>
      </c>
      <c r="B23" t="s">
        <v>5</v>
      </c>
      <c r="C23" s="207" t="s">
        <v>641</v>
      </c>
      <c r="D23" s="207" t="s">
        <v>641</v>
      </c>
      <c r="E23" t="s">
        <v>24</v>
      </c>
    </row>
    <row r="24" spans="1:6" x14ac:dyDescent="0.3">
      <c r="A24" s="4" t="s">
        <v>6</v>
      </c>
      <c r="B24" t="s">
        <v>6</v>
      </c>
      <c r="C24" s="207" t="s">
        <v>641</v>
      </c>
      <c r="D24" s="207" t="s">
        <v>641</v>
      </c>
      <c r="E24" t="s">
        <v>24</v>
      </c>
    </row>
    <row r="25" spans="1:6" x14ac:dyDescent="0.3">
      <c r="A25" s="4" t="s">
        <v>28</v>
      </c>
      <c r="B25" t="s">
        <v>7</v>
      </c>
      <c r="C25" s="207" t="s">
        <v>641</v>
      </c>
      <c r="D25" s="207" t="s">
        <v>641</v>
      </c>
      <c r="E25" t="s">
        <v>24</v>
      </c>
    </row>
    <row r="26" spans="1:6" x14ac:dyDescent="0.3">
      <c r="A26" s="4" t="s">
        <v>8</v>
      </c>
      <c r="B26" t="s">
        <v>29</v>
      </c>
      <c r="C26" s="207" t="s">
        <v>641</v>
      </c>
      <c r="D26" s="207" t="s">
        <v>641</v>
      </c>
      <c r="E26" t="s">
        <v>24</v>
      </c>
    </row>
    <row r="27" spans="1:6" x14ac:dyDescent="0.3">
      <c r="A27" s="4" t="s">
        <v>303</v>
      </c>
      <c r="B27" s="6" t="s">
        <v>31</v>
      </c>
      <c r="C27" t="s">
        <v>32</v>
      </c>
      <c r="D27" t="s">
        <v>33</v>
      </c>
      <c r="E27" t="s">
        <v>24</v>
      </c>
    </row>
    <row r="28" spans="1:6" x14ac:dyDescent="0.3">
      <c r="A28" s="4" t="s">
        <v>304</v>
      </c>
      <c r="B28" s="6" t="s">
        <v>310</v>
      </c>
      <c r="C28" t="s">
        <v>34</v>
      </c>
      <c r="D28" t="s">
        <v>33</v>
      </c>
      <c r="E28" t="s">
        <v>24</v>
      </c>
    </row>
    <row r="29" spans="1:6" x14ac:dyDescent="0.3">
      <c r="A29" s="7" t="s">
        <v>305</v>
      </c>
      <c r="B29" s="6" t="s">
        <v>311</v>
      </c>
      <c r="C29" s="6" t="s">
        <v>9</v>
      </c>
      <c r="E29" t="s">
        <v>27</v>
      </c>
    </row>
    <row r="30" spans="1:6" x14ac:dyDescent="0.3">
      <c r="A30" s="7" t="s">
        <v>306</v>
      </c>
      <c r="B30" s="6" t="s">
        <v>312</v>
      </c>
      <c r="C30" s="6" t="s">
        <v>10</v>
      </c>
      <c r="E30" t="s">
        <v>27</v>
      </c>
    </row>
    <row r="31" spans="1:6" x14ac:dyDescent="0.3">
      <c r="A31" s="7" t="s">
        <v>307</v>
      </c>
      <c r="B31" s="6" t="s">
        <v>313</v>
      </c>
      <c r="C31" s="6" t="s">
        <v>11</v>
      </c>
      <c r="E31" t="s">
        <v>27</v>
      </c>
    </row>
    <row r="32" spans="1:6" x14ac:dyDescent="0.3">
      <c r="A32" s="7" t="s">
        <v>308</v>
      </c>
      <c r="B32" s="6" t="s">
        <v>314</v>
      </c>
      <c r="C32" s="6" t="s">
        <v>12</v>
      </c>
      <c r="E32" t="s">
        <v>27</v>
      </c>
    </row>
    <row r="33" spans="1:5" x14ac:dyDescent="0.3">
      <c r="A33" s="7" t="s">
        <v>309</v>
      </c>
      <c r="B33" s="6" t="s">
        <v>315</v>
      </c>
      <c r="C33" s="6" t="s">
        <v>35</v>
      </c>
      <c r="E33" t="s">
        <v>27</v>
      </c>
    </row>
    <row r="34" spans="1:5" x14ac:dyDescent="0.3">
      <c r="A34" s="7" t="s">
        <v>13</v>
      </c>
      <c r="B34" s="6" t="s">
        <v>36</v>
      </c>
      <c r="C34" s="6" t="s">
        <v>13</v>
      </c>
      <c r="D34" s="6" t="s">
        <v>37</v>
      </c>
      <c r="E34" t="s">
        <v>24</v>
      </c>
    </row>
  </sheetData>
  <dataValidations count="5">
    <dataValidation type="textLength" allowBlank="1" showInputMessage="1" showErrorMessage="1" errorTitle="4000 character limit" error="Maximum number of characters allowed is 4000." promptTitle="Enter Description Label" prompt="Enter a description or definition for this item. The description should give an explanation of the data element and the value(s) it captures. It is not shown on the CRF but is in the data dictionary. It should be 1 to 4000 characters long. REQUIRED" sqref="B1 B3:B19" xr:uid="{F20BB507-B710-4D14-8963-82EAC3616D45}">
      <formula1>1</formula1>
      <formula2>4000</formula2>
    </dataValidation>
    <dataValidation type="textLength" allowBlank="1" showInputMessage="1" showErrorMessage="1" errorTitle="255 character limit" error="Maximum of 255 characters is allowed" promptTitle="Enter Item Name" prompt="Enter the Item Name. This is the unique label or variable name for this data element and should be letters and numbers and no spaces. It should be 1 to 255 characters long. This field is required and must be unique within the spreadsheet. REQUIRED" sqref="A1 A3:A19" xr:uid="{B9342179-96E9-4B2C-80BE-EFF677307750}">
      <formula1>1</formula1>
      <formula2>255</formula2>
    </dataValidation>
    <dataValidation type="textLength" allowBlank="1" showInputMessage="1" showErrorMessage="1" promptTitle="Enter Response Options Text" prompt="Enter a list of the text values of the responses for this response set as a comma-delimited string. Must be 1 to 4000 characters long. It is required for each unique response label but not for previously used response labels." sqref="D1 D3:D19" xr:uid="{53BAB158-CA52-4C1C-9D8B-88E6A313C594}">
      <formula1>0</formula1>
      <formula2>4000</formula2>
    </dataValidation>
    <dataValidation type="textLength" allowBlank="1" showInputMessage="1" showErrorMessage="1" promptTitle="Enter Response Label" prompt="Create a custom label associated with a response set. This label must be defined once and may be reused by other items with the same responses (eg Yes, No). Must be alphanumeric, 1 and 80 characters long, and is required for each unique response set. " sqref="C1 C3:C19" xr:uid="{FDA171EA-EC76-42DC-B63E-9870448D1A99}">
      <formula1>0</formula1>
      <formula2>80</formula2>
    </dataValidation>
    <dataValidation type="list" allowBlank="1" showInputMessage="1" showErrorMessage="1" promptTitle="Enter Data Type" prompt="Enter the data type of this item. You must enter a valid data type from the following list:_x000a_ST (Character String)_x000a_INT (Integer)_x000a_REAL (Real Number)_x000a_DATE _x000a_PDATE_x000a_FILE_x000a_" sqref="E1 E7" xr:uid="{CDC03971-446A-4663-9E9A-81BEC36B11C5}">
      <formula1>"ST, INT, REAL, DATE,FILE,PDATE"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FCEC4-3E89-4552-B0A1-B9941514ED6D}">
  <sheetPr>
    <tabColor theme="5" tint="0.79998168889431442"/>
  </sheetPr>
  <dimension ref="A1:CV45"/>
  <sheetViews>
    <sheetView workbookViewId="0">
      <pane xSplit="1" topLeftCell="B1" activePane="topRight" state="frozen"/>
      <selection pane="topRight" activeCell="D16" sqref="D16"/>
    </sheetView>
  </sheetViews>
  <sheetFormatPr defaultRowHeight="14.4" x14ac:dyDescent="0.3"/>
  <cols>
    <col min="1" max="5" width="22.5546875" style="10" customWidth="1"/>
    <col min="6" max="6" width="13.44140625" style="10" bestFit="1" customWidth="1"/>
    <col min="7" max="7" width="11.88671875" style="10" customWidth="1"/>
    <col min="8" max="8" width="13.33203125" style="10" customWidth="1"/>
    <col min="9" max="9" width="8.88671875" style="10"/>
    <col min="10" max="10" width="16.77734375" style="10" customWidth="1"/>
    <col min="11" max="11" width="13.33203125" style="10" customWidth="1"/>
    <col min="12" max="12" width="40.77734375" style="10" bestFit="1" customWidth="1"/>
    <col min="13" max="13" width="37.5546875" style="10" bestFit="1" customWidth="1"/>
    <col min="14" max="14" width="46.33203125" style="10" bestFit="1" customWidth="1"/>
    <col min="15" max="20" width="46.33203125" style="10" customWidth="1"/>
    <col min="21" max="21" width="20.21875" style="10" bestFit="1" customWidth="1"/>
    <col min="22" max="23" width="34.33203125" style="10" bestFit="1" customWidth="1"/>
    <col min="24" max="26" width="33.33203125" style="10" bestFit="1" customWidth="1"/>
    <col min="27" max="28" width="43.21875" style="10" bestFit="1" customWidth="1"/>
    <col min="29" max="29" width="34.5546875" style="10" bestFit="1" customWidth="1"/>
    <col min="30" max="30" width="41.44140625" style="10" bestFit="1" customWidth="1"/>
    <col min="31" max="33" width="29" style="10" bestFit="1" customWidth="1"/>
    <col min="34" max="34" width="38.109375" style="10" bestFit="1" customWidth="1"/>
    <col min="35" max="35" width="38" style="10" customWidth="1"/>
    <col min="36" max="36" width="37.6640625" style="10" bestFit="1" customWidth="1"/>
    <col min="37" max="37" width="38.5546875" style="10" bestFit="1" customWidth="1"/>
    <col min="38" max="38" width="37.6640625" style="10" bestFit="1" customWidth="1"/>
    <col min="39" max="39" width="45" style="10" bestFit="1" customWidth="1"/>
    <col min="40" max="40" width="46" style="10" bestFit="1" customWidth="1"/>
    <col min="41" max="41" width="29.33203125" style="10" customWidth="1"/>
    <col min="42" max="42" width="27.5546875" style="10" bestFit="1" customWidth="1"/>
    <col min="43" max="43" width="36.6640625" style="10" bestFit="1" customWidth="1"/>
    <col min="44" max="44" width="31.77734375" style="10" customWidth="1"/>
    <col min="45" max="47" width="32.5546875" style="10" bestFit="1" customWidth="1"/>
    <col min="48" max="48" width="41.21875" style="10" bestFit="1" customWidth="1"/>
    <col min="49" max="49" width="41.33203125" style="10" bestFit="1" customWidth="1"/>
    <col min="50" max="50" width="42.33203125" style="10" bestFit="1" customWidth="1"/>
    <col min="51" max="51" width="41.33203125" style="10" bestFit="1" customWidth="1"/>
    <col min="52" max="53" width="31.109375" style="10" bestFit="1" customWidth="1"/>
    <col min="54" max="54" width="34.88671875" style="10" bestFit="1" customWidth="1"/>
    <col min="55" max="55" width="36.33203125" style="10" bestFit="1" customWidth="1"/>
    <col min="56" max="56" width="38.44140625" style="10" bestFit="1" customWidth="1"/>
    <col min="57" max="57" width="42.88671875" style="10" bestFit="1" customWidth="1"/>
    <col min="58" max="58" width="38.44140625" style="10" bestFit="1" customWidth="1"/>
    <col min="59" max="59" width="45.33203125" style="10" bestFit="1" customWidth="1"/>
    <col min="60" max="60" width="44.44140625" style="10" bestFit="1" customWidth="1"/>
    <col min="61" max="61" width="42.88671875" style="10" bestFit="1" customWidth="1"/>
    <col min="62" max="62" width="38.44140625" style="10" bestFit="1" customWidth="1"/>
    <col min="63" max="63" width="45.33203125" style="10" bestFit="1" customWidth="1"/>
    <col min="64" max="64" width="44.44140625" style="10" bestFit="1" customWidth="1"/>
    <col min="65" max="65" width="42.88671875" style="10" bestFit="1" customWidth="1"/>
    <col min="66" max="66" width="41.44140625" style="10" bestFit="1" customWidth="1"/>
    <col min="67" max="67" width="48.44140625" style="10" bestFit="1" customWidth="1"/>
    <col min="68" max="68" width="47.5546875" style="10" bestFit="1" customWidth="1"/>
    <col min="69" max="69" width="41.44140625" style="10" bestFit="1" customWidth="1"/>
    <col min="70" max="70" width="48.44140625" style="10" bestFit="1" customWidth="1"/>
    <col min="71" max="71" width="47.5546875" style="10" bestFit="1" customWidth="1"/>
    <col min="72" max="73" width="31.109375" style="10" customWidth="1"/>
    <col min="74" max="74" width="45" style="1" customWidth="1"/>
    <col min="75" max="76" width="43.5546875" style="1" bestFit="1" customWidth="1"/>
    <col min="77" max="79" width="41.88671875" style="1" bestFit="1" customWidth="1"/>
    <col min="80" max="82" width="43.44140625" style="1" bestFit="1" customWidth="1"/>
    <col min="83" max="83" width="42.6640625" style="1" customWidth="1"/>
    <col min="84" max="84" width="48.33203125" style="1" customWidth="1"/>
    <col min="85" max="85" width="43" style="1" bestFit="1" customWidth="1"/>
    <col min="86" max="86" width="42" style="1" customWidth="1"/>
    <col min="87" max="87" width="43.44140625" style="1" customWidth="1"/>
    <col min="88" max="88" width="43.109375" style="1" customWidth="1"/>
    <col min="89" max="90" width="41.88671875" style="1" customWidth="1"/>
    <col min="91" max="91" width="42" style="1" customWidth="1"/>
    <col min="92" max="92" width="41.5546875" style="1" customWidth="1"/>
    <col min="93" max="93" width="43.88671875" style="1" customWidth="1"/>
    <col min="94" max="94" width="42.33203125" style="1" customWidth="1"/>
    <col min="95" max="95" width="46.44140625" style="1" bestFit="1" customWidth="1"/>
    <col min="96" max="96" width="44.77734375" style="1" customWidth="1"/>
    <col min="97" max="97" width="45.88671875" style="1" customWidth="1"/>
    <col min="98" max="98" width="45.77734375" style="1" bestFit="1" customWidth="1"/>
    <col min="99" max="99" width="44.109375" style="1" customWidth="1"/>
    <col min="100" max="100" width="44.44140625" style="1" customWidth="1"/>
  </cols>
  <sheetData>
    <row r="1" spans="1:100" x14ac:dyDescent="0.3">
      <c r="F1" s="56" t="s">
        <v>157</v>
      </c>
      <c r="G1" s="47"/>
      <c r="H1" s="47"/>
      <c r="I1" s="47"/>
      <c r="J1" s="47"/>
      <c r="K1" s="47"/>
      <c r="L1" s="62" t="s">
        <v>156</v>
      </c>
      <c r="M1" s="62"/>
      <c r="N1" s="62"/>
      <c r="O1" s="62"/>
      <c r="P1" s="62"/>
      <c r="Q1" s="62"/>
      <c r="R1" s="62"/>
      <c r="S1" s="62"/>
      <c r="T1" s="62"/>
      <c r="U1" s="62"/>
      <c r="V1" s="60"/>
      <c r="W1" s="60"/>
      <c r="X1" s="60"/>
      <c r="Y1" s="60"/>
      <c r="Z1" s="60"/>
      <c r="AA1" s="60"/>
      <c r="AB1" s="60"/>
      <c r="AC1" s="60"/>
      <c r="AD1" s="70"/>
      <c r="AE1" s="60"/>
      <c r="AF1" s="60"/>
      <c r="AG1" s="60"/>
      <c r="AH1" s="60"/>
      <c r="AI1" s="60"/>
      <c r="AJ1" s="60"/>
      <c r="AK1" s="60"/>
      <c r="AL1" s="60"/>
      <c r="AM1" s="60"/>
      <c r="AN1" s="60"/>
      <c r="AO1" s="60"/>
      <c r="AP1" s="60"/>
      <c r="AQ1" s="60"/>
      <c r="AR1" s="60"/>
      <c r="AS1" s="60"/>
      <c r="AT1" s="60"/>
      <c r="AU1" s="60"/>
      <c r="AV1" s="60"/>
      <c r="AW1" s="60"/>
      <c r="AX1" s="60"/>
      <c r="AY1" s="60"/>
      <c r="AZ1" s="60"/>
      <c r="BA1" s="60"/>
      <c r="BB1" s="189" t="s">
        <v>590</v>
      </c>
      <c r="BC1" s="60"/>
      <c r="BD1" s="60"/>
      <c r="BE1" s="60"/>
      <c r="BF1" s="60"/>
      <c r="BG1" s="60"/>
      <c r="BH1" s="60"/>
      <c r="BI1" s="60"/>
      <c r="BJ1" s="60"/>
      <c r="BK1" s="60"/>
      <c r="BL1" s="60"/>
      <c r="BM1" s="60"/>
      <c r="BN1" s="60"/>
      <c r="BO1" s="60"/>
      <c r="BP1" s="60"/>
      <c r="BQ1" s="60"/>
      <c r="BR1" s="60"/>
      <c r="BS1" s="60"/>
      <c r="BT1" s="60"/>
      <c r="BU1" s="60"/>
      <c r="BV1" s="91" t="s">
        <v>173</v>
      </c>
      <c r="BW1" s="54"/>
      <c r="BX1" s="54"/>
      <c r="BY1" s="44"/>
      <c r="BZ1" s="80"/>
      <c r="CA1" s="80"/>
      <c r="CB1" s="80"/>
      <c r="CC1" s="80"/>
      <c r="CD1" s="80"/>
      <c r="CE1" s="80"/>
      <c r="CF1" s="80"/>
      <c r="CG1" s="80"/>
      <c r="CH1" s="80"/>
      <c r="CI1" s="80"/>
      <c r="CJ1" s="80"/>
      <c r="CK1" s="80"/>
      <c r="CL1" s="80"/>
      <c r="CM1" s="80"/>
      <c r="CN1" s="80"/>
      <c r="CO1" s="80"/>
      <c r="CP1" s="80"/>
      <c r="CQ1" s="80"/>
      <c r="CR1" s="80"/>
      <c r="CS1" s="80"/>
      <c r="CT1" s="80"/>
      <c r="CU1" s="80"/>
      <c r="CV1" s="80"/>
    </row>
    <row r="2" spans="1:100" ht="64.8" customHeight="1" x14ac:dyDescent="0.3">
      <c r="F2" s="56"/>
      <c r="G2" s="47"/>
      <c r="H2" s="47"/>
      <c r="I2" s="47"/>
      <c r="J2" s="47"/>
      <c r="K2" s="47"/>
      <c r="L2" s="62"/>
      <c r="M2" s="62"/>
      <c r="N2" s="94" t="s">
        <v>183</v>
      </c>
      <c r="O2" s="62"/>
      <c r="P2" s="62"/>
      <c r="Q2" s="94" t="s">
        <v>183</v>
      </c>
      <c r="R2" s="62"/>
      <c r="S2" s="62"/>
      <c r="T2" s="94" t="s">
        <v>183</v>
      </c>
      <c r="U2" s="62"/>
      <c r="V2" s="60"/>
      <c r="W2" s="60"/>
      <c r="X2" s="60"/>
      <c r="Y2" s="60"/>
      <c r="Z2" s="60"/>
      <c r="AA2" s="60"/>
      <c r="AB2" s="60"/>
      <c r="AC2" s="60"/>
      <c r="AD2" s="93" t="s">
        <v>174</v>
      </c>
      <c r="AE2" s="93"/>
      <c r="AF2" s="93"/>
      <c r="AG2" s="60"/>
      <c r="AH2" s="60"/>
      <c r="AI2" s="195" t="s">
        <v>246</v>
      </c>
      <c r="AJ2" s="195"/>
      <c r="AK2" s="195" t="s">
        <v>245</v>
      </c>
      <c r="AL2" s="195"/>
      <c r="AM2" s="70"/>
      <c r="AN2" s="70"/>
      <c r="AO2" s="60"/>
      <c r="AP2" s="60"/>
      <c r="AQ2" s="192" t="s">
        <v>627</v>
      </c>
      <c r="AR2" s="98" t="s">
        <v>629</v>
      </c>
      <c r="AS2" s="93"/>
      <c r="AT2" s="93"/>
      <c r="AU2" s="60"/>
      <c r="AV2" s="195" t="s">
        <v>247</v>
      </c>
      <c r="AW2" s="195"/>
      <c r="AX2" s="195" t="s">
        <v>250</v>
      </c>
      <c r="AY2" s="195"/>
      <c r="AZ2" s="60"/>
      <c r="BA2" s="60"/>
      <c r="BB2" s="193" t="s">
        <v>540</v>
      </c>
      <c r="BC2" s="193"/>
      <c r="BD2" s="194" t="s">
        <v>541</v>
      </c>
      <c r="BE2" s="194"/>
      <c r="BF2" s="194" t="s">
        <v>542</v>
      </c>
      <c r="BG2" s="194"/>
      <c r="BH2" s="194"/>
      <c r="BI2" s="194"/>
      <c r="BJ2" s="194" t="s">
        <v>543</v>
      </c>
      <c r="BK2" s="193"/>
      <c r="BL2" s="193"/>
      <c r="BM2" s="193"/>
      <c r="BN2" s="194" t="s">
        <v>544</v>
      </c>
      <c r="BO2" s="193"/>
      <c r="BP2" s="193"/>
      <c r="BQ2" s="194" t="s">
        <v>545</v>
      </c>
      <c r="BR2" s="193"/>
      <c r="BS2" s="193"/>
      <c r="BT2" s="193" t="s">
        <v>546</v>
      </c>
      <c r="BU2" s="193"/>
      <c r="BV2" s="80"/>
      <c r="BW2" s="80"/>
      <c r="BX2" s="80"/>
      <c r="BY2" s="80"/>
      <c r="BZ2" s="80"/>
      <c r="CA2" s="80"/>
      <c r="CB2" s="80"/>
      <c r="CC2" s="80"/>
      <c r="CD2" s="80"/>
      <c r="CE2" s="80"/>
      <c r="CF2" s="80"/>
      <c r="CG2" s="80"/>
      <c r="CH2" s="80"/>
      <c r="CI2" s="80"/>
      <c r="CJ2" s="80"/>
      <c r="CK2" s="80"/>
      <c r="CL2" s="80"/>
      <c r="CM2" s="80"/>
      <c r="CN2" s="80"/>
      <c r="CO2" s="80"/>
      <c r="CP2" s="80"/>
      <c r="CQ2" s="80"/>
      <c r="CR2" s="80"/>
      <c r="CS2" s="80"/>
      <c r="CT2" s="80"/>
      <c r="CU2" s="80"/>
      <c r="CV2" s="80"/>
    </row>
    <row r="3" spans="1:100" s="37" customFormat="1" x14ac:dyDescent="0.3">
      <c r="A3" s="34" t="s">
        <v>0</v>
      </c>
      <c r="B3" s="34" t="s">
        <v>514</v>
      </c>
      <c r="C3" s="34" t="s">
        <v>86</v>
      </c>
      <c r="D3" s="34" t="s">
        <v>170</v>
      </c>
      <c r="E3" s="34" t="s">
        <v>330</v>
      </c>
      <c r="F3" s="36" t="s">
        <v>2</v>
      </c>
      <c r="G3" s="36" t="s">
        <v>38</v>
      </c>
      <c r="H3" s="36" t="s">
        <v>39</v>
      </c>
      <c r="I3" s="36" t="s">
        <v>5</v>
      </c>
      <c r="J3" s="36" t="s">
        <v>41</v>
      </c>
      <c r="K3" s="36" t="s">
        <v>8</v>
      </c>
      <c r="L3" s="92" t="s">
        <v>184</v>
      </c>
      <c r="M3" s="92" t="s">
        <v>185</v>
      </c>
      <c r="N3" s="92" t="s">
        <v>186</v>
      </c>
      <c r="O3" s="92" t="s">
        <v>187</v>
      </c>
      <c r="P3" s="92" t="s">
        <v>188</v>
      </c>
      <c r="Q3" s="92" t="s">
        <v>189</v>
      </c>
      <c r="R3" s="92" t="s">
        <v>190</v>
      </c>
      <c r="S3" s="92" t="s">
        <v>191</v>
      </c>
      <c r="T3" s="92" t="s">
        <v>192</v>
      </c>
      <c r="U3" s="61" t="s">
        <v>195</v>
      </c>
      <c r="V3" s="61" t="s">
        <v>196</v>
      </c>
      <c r="W3" s="61" t="s">
        <v>197</v>
      </c>
      <c r="X3" s="61" t="s">
        <v>198</v>
      </c>
      <c r="Y3" s="61" t="s">
        <v>199</v>
      </c>
      <c r="Z3" s="61" t="s">
        <v>200</v>
      </c>
      <c r="AA3" s="61" t="s">
        <v>201</v>
      </c>
      <c r="AB3" s="61" t="s">
        <v>203</v>
      </c>
      <c r="AC3" s="61" t="s">
        <v>202</v>
      </c>
      <c r="AD3" s="61" t="s">
        <v>112</v>
      </c>
      <c r="AE3" s="61" t="s">
        <v>175</v>
      </c>
      <c r="AF3" s="61" t="s">
        <v>176</v>
      </c>
      <c r="AG3" s="61" t="s">
        <v>177</v>
      </c>
      <c r="AH3" s="49" t="s">
        <v>507</v>
      </c>
      <c r="AI3" s="61" t="s">
        <v>241</v>
      </c>
      <c r="AJ3" s="61" t="s">
        <v>242</v>
      </c>
      <c r="AK3" s="61" t="s">
        <v>243</v>
      </c>
      <c r="AL3" s="61" t="s">
        <v>244</v>
      </c>
      <c r="AM3" s="49" t="s">
        <v>508</v>
      </c>
      <c r="AN3" s="49" t="s">
        <v>509</v>
      </c>
      <c r="AO3" s="61" t="s">
        <v>126</v>
      </c>
      <c r="AP3" s="61" t="s">
        <v>121</v>
      </c>
      <c r="AQ3" s="61" t="s">
        <v>628</v>
      </c>
      <c r="AR3" s="61" t="s">
        <v>326</v>
      </c>
      <c r="AS3" s="61" t="s">
        <v>178</v>
      </c>
      <c r="AT3" s="61" t="s">
        <v>179</v>
      </c>
      <c r="AU3" s="61" t="s">
        <v>180</v>
      </c>
      <c r="AV3" s="61" t="s">
        <v>248</v>
      </c>
      <c r="AW3" s="61" t="s">
        <v>249</v>
      </c>
      <c r="AX3" s="61" t="s">
        <v>251</v>
      </c>
      <c r="AY3" s="61" t="s">
        <v>252</v>
      </c>
      <c r="AZ3" s="61" t="s">
        <v>127</v>
      </c>
      <c r="BA3" s="61" t="s">
        <v>122</v>
      </c>
      <c r="BB3" s="61" t="s">
        <v>572</v>
      </c>
      <c r="BC3" s="61" t="s">
        <v>573</v>
      </c>
      <c r="BD3" s="61" t="s">
        <v>574</v>
      </c>
      <c r="BE3" s="61" t="s">
        <v>575</v>
      </c>
      <c r="BF3" s="61" t="s">
        <v>576</v>
      </c>
      <c r="BG3" s="61" t="s">
        <v>577</v>
      </c>
      <c r="BH3" s="61" t="s">
        <v>578</v>
      </c>
      <c r="BI3" s="61" t="s">
        <v>579</v>
      </c>
      <c r="BJ3" s="61" t="s">
        <v>580</v>
      </c>
      <c r="BK3" s="61" t="s">
        <v>581</v>
      </c>
      <c r="BL3" s="61" t="s">
        <v>582</v>
      </c>
      <c r="BM3" s="61" t="s">
        <v>583</v>
      </c>
      <c r="BN3" s="61" t="s">
        <v>584</v>
      </c>
      <c r="BO3" s="61" t="s">
        <v>585</v>
      </c>
      <c r="BP3" s="61" t="s">
        <v>586</v>
      </c>
      <c r="BQ3" s="61" t="s">
        <v>587</v>
      </c>
      <c r="BR3" s="61" t="s">
        <v>588</v>
      </c>
      <c r="BS3" s="61" t="s">
        <v>589</v>
      </c>
      <c r="BT3" s="61" t="s">
        <v>538</v>
      </c>
      <c r="BU3" s="61" t="s">
        <v>539</v>
      </c>
      <c r="BV3" s="81" t="s">
        <v>205</v>
      </c>
      <c r="BW3" s="81" t="s">
        <v>206</v>
      </c>
      <c r="BX3" s="81" t="s">
        <v>207</v>
      </c>
      <c r="BY3" s="81" t="s">
        <v>208</v>
      </c>
      <c r="BZ3" s="81" t="s">
        <v>209</v>
      </c>
      <c r="CA3" s="81" t="s">
        <v>210</v>
      </c>
      <c r="CB3" s="81" t="s">
        <v>211</v>
      </c>
      <c r="CC3" s="81" t="s">
        <v>212</v>
      </c>
      <c r="CD3" s="81" t="s">
        <v>213</v>
      </c>
      <c r="CE3" s="81" t="s">
        <v>214</v>
      </c>
      <c r="CF3" s="81" t="s">
        <v>215</v>
      </c>
      <c r="CG3" s="81" t="s">
        <v>216</v>
      </c>
      <c r="CH3" s="81" t="s">
        <v>217</v>
      </c>
      <c r="CI3" s="81" t="s">
        <v>218</v>
      </c>
      <c r="CJ3" s="81" t="s">
        <v>219</v>
      </c>
      <c r="CK3" s="81" t="s">
        <v>220</v>
      </c>
      <c r="CL3" s="81" t="s">
        <v>221</v>
      </c>
      <c r="CM3" s="81" t="s">
        <v>222</v>
      </c>
      <c r="CN3" s="81" t="s">
        <v>223</v>
      </c>
      <c r="CO3" s="81" t="s">
        <v>224</v>
      </c>
      <c r="CP3" s="81" t="s">
        <v>225</v>
      </c>
      <c r="CQ3" s="81" t="s">
        <v>226</v>
      </c>
      <c r="CR3" s="81" t="s">
        <v>231</v>
      </c>
      <c r="CS3" s="81" t="s">
        <v>227</v>
      </c>
      <c r="CT3" s="81" t="s">
        <v>228</v>
      </c>
      <c r="CU3" s="81" t="s">
        <v>229</v>
      </c>
      <c r="CV3" s="81" t="s">
        <v>230</v>
      </c>
    </row>
    <row r="4" spans="1:100" s="21" customFormat="1" x14ac:dyDescent="0.3">
      <c r="A4" s="18">
        <v>1</v>
      </c>
      <c r="B4" s="18" t="s">
        <v>515</v>
      </c>
      <c r="C4" s="18" t="s">
        <v>88</v>
      </c>
      <c r="D4" s="18">
        <v>1</v>
      </c>
      <c r="E4" s="129">
        <v>45607</v>
      </c>
      <c r="F4" s="18">
        <v>0</v>
      </c>
      <c r="G4" s="18">
        <v>0</v>
      </c>
      <c r="H4" s="19">
        <v>0.46</v>
      </c>
      <c r="I4" s="18">
        <v>1</v>
      </c>
      <c r="J4" s="18">
        <v>2</v>
      </c>
      <c r="K4" s="18">
        <v>0</v>
      </c>
      <c r="L4" s="18">
        <v>100000</v>
      </c>
      <c r="M4" s="18">
        <v>3.5</v>
      </c>
      <c r="N4" s="20">
        <f>(L4)/(M4)</f>
        <v>28571.428571428572</v>
      </c>
      <c r="O4" s="18">
        <v>100000</v>
      </c>
      <c r="P4" s="18">
        <v>2.9</v>
      </c>
      <c r="Q4" s="20">
        <f>(O4)/(P4)</f>
        <v>34482.758620689659</v>
      </c>
      <c r="R4" s="18">
        <v>100000</v>
      </c>
      <c r="S4" s="18">
        <v>3.1</v>
      </c>
      <c r="T4" s="20">
        <f>(R4)/(S4)</f>
        <v>32258.06451612903</v>
      </c>
      <c r="U4" s="20">
        <v>3.1111111111111112</v>
      </c>
      <c r="V4" s="20">
        <v>55581.63</v>
      </c>
      <c r="W4" s="20">
        <v>31406.7</v>
      </c>
      <c r="X4" s="19">
        <v>0.81</v>
      </c>
      <c r="Y4" s="19">
        <v>0.43</v>
      </c>
      <c r="Z4" s="19">
        <v>1.41</v>
      </c>
      <c r="AA4" s="20">
        <v>60</v>
      </c>
      <c r="AB4" s="20">
        <v>10.046728971962617</v>
      </c>
      <c r="AC4" s="20">
        <v>33.571428571428569</v>
      </c>
      <c r="AD4" s="19">
        <v>0.82758620689655171</v>
      </c>
      <c r="AE4" s="19">
        <v>1.35</v>
      </c>
      <c r="AF4" s="19">
        <v>4.28</v>
      </c>
      <c r="AG4" s="19">
        <v>4.2</v>
      </c>
      <c r="AH4" s="19">
        <f>(AG4/100)*100000</f>
        <v>4200</v>
      </c>
      <c r="AI4" s="20">
        <v>7.59</v>
      </c>
      <c r="AJ4" s="20">
        <v>92.3</v>
      </c>
      <c r="AK4" s="20">
        <v>8.7799999999999994</v>
      </c>
      <c r="AL4" s="20">
        <v>90.85</v>
      </c>
      <c r="AM4" s="20">
        <f t="shared" ref="AM4:AM37" si="0">(AK4/100)*(AH4)</f>
        <v>368.75999999999993</v>
      </c>
      <c r="AN4" s="20">
        <f t="shared" ref="AN4:AN37" si="1">(AL4/100)*(AH4)</f>
        <v>3815.7</v>
      </c>
      <c r="AO4" s="19">
        <v>7.5983581940134144</v>
      </c>
      <c r="AP4" s="19">
        <v>8.8126066445849638</v>
      </c>
      <c r="AQ4" s="19">
        <f>MEDIAN(AP9,AP18:AP20,AP28)</f>
        <v>10.782643551458062</v>
      </c>
      <c r="AR4" s="19"/>
      <c r="AS4" s="19">
        <v>1.35</v>
      </c>
      <c r="AT4" s="19">
        <v>3.55</v>
      </c>
      <c r="AU4" s="19">
        <v>3.36</v>
      </c>
      <c r="AV4" s="20">
        <v>22.27</v>
      </c>
      <c r="AW4" s="20">
        <v>77.569999999999993</v>
      </c>
      <c r="AX4" s="20">
        <v>26.69</v>
      </c>
      <c r="AY4" s="20">
        <v>72.94</v>
      </c>
      <c r="AZ4" s="19">
        <v>22.305689102564106</v>
      </c>
      <c r="BA4" s="19">
        <v>26.789119743049284</v>
      </c>
      <c r="BB4" s="20">
        <v>1450</v>
      </c>
      <c r="BC4" s="20">
        <v>12</v>
      </c>
      <c r="BD4" s="20">
        <v>1202</v>
      </c>
      <c r="BE4" s="20">
        <v>717</v>
      </c>
      <c r="BF4" s="20">
        <v>3819</v>
      </c>
      <c r="BG4" s="20">
        <v>3525</v>
      </c>
      <c r="BH4" s="20">
        <v>290</v>
      </c>
      <c r="BI4" s="20">
        <v>380</v>
      </c>
      <c r="BJ4" s="20">
        <v>3782</v>
      </c>
      <c r="BK4" s="20">
        <v>3436</v>
      </c>
      <c r="BL4" s="20">
        <v>332</v>
      </c>
      <c r="BM4" s="20">
        <v>1270</v>
      </c>
      <c r="BN4" s="20">
        <v>3179</v>
      </c>
      <c r="BO4" s="20">
        <v>2466</v>
      </c>
      <c r="BP4" s="20">
        <v>708</v>
      </c>
      <c r="BQ4" s="20">
        <v>3001</v>
      </c>
      <c r="BR4" s="20">
        <v>2189</v>
      </c>
      <c r="BS4" s="20">
        <v>801</v>
      </c>
      <c r="BT4" s="20">
        <v>8</v>
      </c>
      <c r="BU4" s="20">
        <v>1753</v>
      </c>
      <c r="BV4" s="82">
        <v>127</v>
      </c>
      <c r="BW4" s="82">
        <v>100</v>
      </c>
      <c r="BX4" s="82">
        <v>103</v>
      </c>
      <c r="BY4" s="82"/>
      <c r="BZ4" s="82">
        <v>13</v>
      </c>
      <c r="CA4" s="83">
        <v>3.8834951456310676</v>
      </c>
      <c r="CB4" s="82"/>
      <c r="CC4" s="82"/>
      <c r="CD4" s="82"/>
      <c r="CE4" s="82"/>
      <c r="CF4" s="82">
        <v>31</v>
      </c>
      <c r="CG4" s="82"/>
      <c r="CH4" s="82"/>
      <c r="CI4" s="82"/>
      <c r="CJ4" s="83">
        <v>1.9417475728155338</v>
      </c>
      <c r="CK4" s="82"/>
      <c r="CL4" s="82">
        <v>51</v>
      </c>
      <c r="CM4" s="83">
        <v>14.563106796116504</v>
      </c>
      <c r="CN4" s="83">
        <v>12.5984251968504</v>
      </c>
      <c r="CO4" s="82">
        <v>2</v>
      </c>
      <c r="CP4" s="83">
        <v>19.417475728155338</v>
      </c>
      <c r="CQ4" s="83">
        <v>28.346456692913385</v>
      </c>
      <c r="CR4" s="82">
        <v>2</v>
      </c>
      <c r="CS4" s="83">
        <v>46.601941747572816</v>
      </c>
      <c r="CT4" s="83">
        <v>59.055118110236215</v>
      </c>
      <c r="CU4" s="82">
        <v>1</v>
      </c>
      <c r="CV4" s="83">
        <v>13.592233009708737</v>
      </c>
    </row>
    <row r="5" spans="1:100" s="13" customFormat="1" x14ac:dyDescent="0.3">
      <c r="A5" s="12">
        <v>2</v>
      </c>
      <c r="B5" s="12" t="s">
        <v>148</v>
      </c>
      <c r="C5" s="12" t="s">
        <v>92</v>
      </c>
      <c r="D5" s="12">
        <v>1</v>
      </c>
      <c r="E5" s="130">
        <v>45607</v>
      </c>
      <c r="F5" s="12">
        <v>2</v>
      </c>
      <c r="G5" s="12">
        <v>0</v>
      </c>
      <c r="H5" s="14">
        <v>1.78</v>
      </c>
      <c r="I5" s="12">
        <v>1</v>
      </c>
      <c r="J5" s="12">
        <v>0</v>
      </c>
      <c r="K5" s="12">
        <v>1</v>
      </c>
      <c r="L5" s="12">
        <v>100000</v>
      </c>
      <c r="M5" s="12">
        <v>7</v>
      </c>
      <c r="N5" s="15">
        <f t="shared" ref="N5:N37" si="2">(L5)/(M5)</f>
        <v>14285.714285714286</v>
      </c>
      <c r="O5" s="12">
        <v>100000</v>
      </c>
      <c r="P5" s="12">
        <v>6.5</v>
      </c>
      <c r="Q5" s="15">
        <f t="shared" ref="Q5:Q37" si="3">(O5)/(P5)</f>
        <v>15384.615384615385</v>
      </c>
      <c r="R5" s="12">
        <v>100000</v>
      </c>
      <c r="S5" s="12">
        <v>5.9</v>
      </c>
      <c r="T5" s="15">
        <f t="shared" ref="T5:T36" si="4">(R5)/(S5)</f>
        <v>16949.152542372882</v>
      </c>
      <c r="U5" s="15">
        <v>2.4549180327868854</v>
      </c>
      <c r="V5" s="15">
        <v>32636.05</v>
      </c>
      <c r="W5" s="15">
        <v>12951.06</v>
      </c>
      <c r="X5" s="14">
        <v>0.98</v>
      </c>
      <c r="Y5" s="14">
        <v>0.33</v>
      </c>
      <c r="Z5" s="14">
        <v>0.87</v>
      </c>
      <c r="AA5" s="15">
        <v>40.16393442622951</v>
      </c>
      <c r="AB5" s="15">
        <v>5.2215189873417724</v>
      </c>
      <c r="AC5" s="15">
        <v>14.524207011686144</v>
      </c>
      <c r="AD5" s="14">
        <v>2</v>
      </c>
      <c r="AE5" s="14">
        <v>2.44</v>
      </c>
      <c r="AF5" s="14">
        <v>6.32</v>
      </c>
      <c r="AG5" s="14">
        <v>5.99</v>
      </c>
      <c r="AH5" s="14">
        <f t="shared" ref="AH5:AH37" si="5">(AG5/100)*100000</f>
        <v>5990</v>
      </c>
      <c r="AI5" s="15">
        <v>25</v>
      </c>
      <c r="AJ5" s="15">
        <v>74.790000000000006</v>
      </c>
      <c r="AK5" s="15">
        <v>26.22</v>
      </c>
      <c r="AL5" s="15">
        <v>73.599999999999994</v>
      </c>
      <c r="AM5" s="15">
        <f t="shared" si="0"/>
        <v>1570.578</v>
      </c>
      <c r="AN5" s="15">
        <f t="shared" si="1"/>
        <v>4408.6400000000003</v>
      </c>
      <c r="AO5" s="14">
        <v>25.052610482012224</v>
      </c>
      <c r="AP5" s="14">
        <v>26.267281105990786</v>
      </c>
      <c r="AQ5" s="14"/>
      <c r="AR5" s="14">
        <f>AP5/$AQ$4</f>
        <v>2.4360706148390525</v>
      </c>
      <c r="AS5" s="14">
        <v>2.44</v>
      </c>
      <c r="AT5" s="14">
        <v>4.41</v>
      </c>
      <c r="AU5" s="14">
        <v>3.89</v>
      </c>
      <c r="AV5" s="15">
        <v>33.72</v>
      </c>
      <c r="AW5" s="15">
        <v>66.11</v>
      </c>
      <c r="AX5" s="15">
        <v>38.369999999999997</v>
      </c>
      <c r="AY5" s="15">
        <v>61.52</v>
      </c>
      <c r="AZ5" s="14">
        <v>33.77742161674847</v>
      </c>
      <c r="BA5" s="14">
        <v>38.412253478826706</v>
      </c>
      <c r="BB5" s="15">
        <v>950</v>
      </c>
      <c r="BC5" s="15">
        <v>8</v>
      </c>
      <c r="BD5" s="15">
        <v>2229</v>
      </c>
      <c r="BE5" s="15">
        <v>891</v>
      </c>
      <c r="BF5" s="15">
        <v>5760</v>
      </c>
      <c r="BG5" s="15">
        <v>4308</v>
      </c>
      <c r="BH5" s="15">
        <v>1440</v>
      </c>
      <c r="BI5" s="15">
        <v>301</v>
      </c>
      <c r="BJ5" s="15">
        <v>5473</v>
      </c>
      <c r="BK5" s="15">
        <v>4028</v>
      </c>
      <c r="BL5" s="15">
        <v>1435</v>
      </c>
      <c r="BM5" s="15">
        <v>795</v>
      </c>
      <c r="BN5" s="15">
        <v>3998</v>
      </c>
      <c r="BO5" s="15">
        <v>2643</v>
      </c>
      <c r="BP5" s="15">
        <v>1348</v>
      </c>
      <c r="BQ5" s="15">
        <v>3550</v>
      </c>
      <c r="BR5" s="15">
        <v>2184</v>
      </c>
      <c r="BS5" s="15">
        <v>1362</v>
      </c>
      <c r="BT5" s="15">
        <v>19</v>
      </c>
      <c r="BU5" s="15">
        <v>1065</v>
      </c>
      <c r="BV5" s="17">
        <v>111</v>
      </c>
      <c r="BW5" s="17">
        <v>107</v>
      </c>
      <c r="BX5" s="17">
        <v>125</v>
      </c>
      <c r="BY5" s="84">
        <v>6.3063063063063058</v>
      </c>
      <c r="BZ5" s="84">
        <v>13.084112149532709</v>
      </c>
      <c r="CA5" s="74">
        <v>12.8</v>
      </c>
      <c r="CB5" s="17"/>
      <c r="CC5" s="17"/>
      <c r="CD5" s="17"/>
      <c r="CE5" s="74">
        <v>9.9099099099099099</v>
      </c>
      <c r="CF5" s="84">
        <v>56.074766355140184</v>
      </c>
      <c r="CG5" s="74">
        <v>7.1999999999999993</v>
      </c>
      <c r="CH5" s="74">
        <v>13.513513513513514</v>
      </c>
      <c r="CI5" s="84">
        <v>3.7383177570093453</v>
      </c>
      <c r="CJ5" s="74">
        <v>15.2</v>
      </c>
      <c r="CK5" s="74">
        <v>0.90090090090090091</v>
      </c>
      <c r="CL5" s="74">
        <v>22.429906542056074</v>
      </c>
      <c r="CM5" s="74">
        <v>33.6</v>
      </c>
      <c r="CN5" s="74">
        <v>24.324324324324326</v>
      </c>
      <c r="CO5" s="74">
        <v>4.6728971962616823</v>
      </c>
      <c r="CP5" s="74">
        <v>12.8</v>
      </c>
      <c r="CQ5" s="74">
        <v>21.621621621621621</v>
      </c>
      <c r="CR5" s="17"/>
      <c r="CS5" s="74">
        <v>16.8</v>
      </c>
      <c r="CT5" s="74">
        <v>23.423423423423422</v>
      </c>
      <c r="CU5" s="17"/>
      <c r="CV5" s="74">
        <v>1.6</v>
      </c>
    </row>
    <row r="6" spans="1:100" s="13" customFormat="1" x14ac:dyDescent="0.3">
      <c r="A6" s="12">
        <v>3</v>
      </c>
      <c r="B6" s="12" t="s">
        <v>148</v>
      </c>
      <c r="C6" s="12" t="s">
        <v>92</v>
      </c>
      <c r="D6" s="12">
        <v>1</v>
      </c>
      <c r="E6" s="130">
        <v>45607</v>
      </c>
      <c r="F6" s="12">
        <v>2</v>
      </c>
      <c r="G6" s="12">
        <v>2</v>
      </c>
      <c r="H6" s="14">
        <v>1.65</v>
      </c>
      <c r="I6" s="12">
        <v>1</v>
      </c>
      <c r="J6" s="12">
        <v>0</v>
      </c>
      <c r="K6" s="12">
        <v>0</v>
      </c>
      <c r="L6" s="12">
        <v>100000</v>
      </c>
      <c r="M6" s="12">
        <v>5.0999999999999996</v>
      </c>
      <c r="N6" s="15">
        <f t="shared" si="2"/>
        <v>19607.843137254902</v>
      </c>
      <c r="O6" s="12">
        <v>100000</v>
      </c>
      <c r="P6" s="12">
        <v>5.6</v>
      </c>
      <c r="Q6" s="15">
        <f t="shared" si="3"/>
        <v>17857.142857142859</v>
      </c>
      <c r="R6" s="12">
        <v>100000</v>
      </c>
      <c r="S6" s="12">
        <v>5.3</v>
      </c>
      <c r="T6" s="15">
        <f t="shared" si="4"/>
        <v>18867.924528301886</v>
      </c>
      <c r="U6" s="15">
        <v>2.6047619047619044</v>
      </c>
      <c r="V6" s="15">
        <v>32628.93</v>
      </c>
      <c r="W6" s="15">
        <v>13404.66</v>
      </c>
      <c r="X6" s="14">
        <v>0.69</v>
      </c>
      <c r="Y6" s="14">
        <v>0.34</v>
      </c>
      <c r="Z6" s="14">
        <v>0.87</v>
      </c>
      <c r="AA6" s="15">
        <v>32.857142857142854</v>
      </c>
      <c r="AB6" s="15">
        <v>5.9130434782608701</v>
      </c>
      <c r="AC6" s="15">
        <v>15.904936014625228</v>
      </c>
      <c r="AD6" s="14">
        <v>2</v>
      </c>
      <c r="AE6" s="14">
        <v>2.1</v>
      </c>
      <c r="AF6" s="14">
        <v>5.75</v>
      </c>
      <c r="AG6" s="14">
        <v>5.47</v>
      </c>
      <c r="AH6" s="14">
        <f t="shared" si="5"/>
        <v>5470</v>
      </c>
      <c r="AI6" s="15">
        <v>17.170000000000002</v>
      </c>
      <c r="AJ6" s="15">
        <v>82.67</v>
      </c>
      <c r="AK6" s="15">
        <v>18.239999999999998</v>
      </c>
      <c r="AL6" s="15">
        <v>81.66</v>
      </c>
      <c r="AM6" s="15">
        <f t="shared" si="0"/>
        <v>997.72799999999984</v>
      </c>
      <c r="AN6" s="15">
        <f t="shared" si="1"/>
        <v>4466.8019999999997</v>
      </c>
      <c r="AO6" s="14">
        <v>17.197516025641026</v>
      </c>
      <c r="AP6" s="14">
        <v>18.258258258258259</v>
      </c>
      <c r="AQ6" s="14"/>
      <c r="AR6" s="14">
        <f>AP6/$AQ$4</f>
        <v>1.6933007356799179</v>
      </c>
      <c r="AS6" s="14">
        <v>2.1</v>
      </c>
      <c r="AT6" s="14">
        <v>4.03</v>
      </c>
      <c r="AU6" s="14">
        <v>3.9</v>
      </c>
      <c r="AV6" s="15">
        <v>31.19</v>
      </c>
      <c r="AW6" s="15">
        <v>68.72</v>
      </c>
      <c r="AX6" s="15">
        <v>31.89</v>
      </c>
      <c r="AY6" s="15">
        <v>67.91</v>
      </c>
      <c r="AZ6" s="14">
        <v>31.218096286657993</v>
      </c>
      <c r="BA6" s="14">
        <v>31.953907815631265</v>
      </c>
      <c r="BB6" s="15">
        <v>992.5</v>
      </c>
      <c r="BC6" s="15">
        <v>12</v>
      </c>
      <c r="BD6" s="15">
        <v>1865</v>
      </c>
      <c r="BE6" s="15">
        <v>613</v>
      </c>
      <c r="BF6" s="15">
        <v>5160</v>
      </c>
      <c r="BG6" s="15">
        <v>4266</v>
      </c>
      <c r="BH6" s="15">
        <v>886</v>
      </c>
      <c r="BI6" s="15">
        <v>302</v>
      </c>
      <c r="BJ6" s="15">
        <v>4956</v>
      </c>
      <c r="BK6" s="15">
        <v>4047</v>
      </c>
      <c r="BL6" s="15">
        <v>904</v>
      </c>
      <c r="BM6" s="15">
        <v>786</v>
      </c>
      <c r="BN6" s="15">
        <v>3600</v>
      </c>
      <c r="BO6" s="15">
        <v>2474</v>
      </c>
      <c r="BP6" s="15">
        <v>1123</v>
      </c>
      <c r="BQ6" s="15">
        <v>3512</v>
      </c>
      <c r="BR6" s="15">
        <v>2385</v>
      </c>
      <c r="BS6" s="15">
        <v>1120</v>
      </c>
      <c r="BT6" s="15">
        <v>13</v>
      </c>
      <c r="BU6" s="15">
        <v>788</v>
      </c>
      <c r="BV6" s="17">
        <v>104</v>
      </c>
      <c r="BW6" s="17">
        <v>104</v>
      </c>
      <c r="BX6" s="17">
        <v>100</v>
      </c>
      <c r="BY6" s="74">
        <v>15.384615384615385</v>
      </c>
      <c r="BZ6" s="74">
        <v>9.6153846153846168</v>
      </c>
      <c r="CA6" s="74">
        <v>20</v>
      </c>
      <c r="CB6" s="17"/>
      <c r="CC6" s="17"/>
      <c r="CD6" s="17"/>
      <c r="CE6" s="17"/>
      <c r="CF6" s="74">
        <v>43.269230769230774</v>
      </c>
      <c r="CG6" s="74">
        <v>6</v>
      </c>
      <c r="CH6" s="74">
        <v>8.6538461538461533</v>
      </c>
      <c r="CI6" s="74">
        <v>3.8461538461538463</v>
      </c>
      <c r="CJ6" s="74">
        <v>17</v>
      </c>
      <c r="CK6" s="17"/>
      <c r="CL6" s="74">
        <v>43.269230769230774</v>
      </c>
      <c r="CM6" s="74">
        <v>25</v>
      </c>
      <c r="CN6" s="74">
        <v>30.76923076923077</v>
      </c>
      <c r="CO6" s="17"/>
      <c r="CP6" s="74">
        <v>7.0000000000000009</v>
      </c>
      <c r="CQ6" s="74">
        <v>22.115384615384613</v>
      </c>
      <c r="CR6" s="17"/>
      <c r="CS6" s="74">
        <v>20</v>
      </c>
      <c r="CT6" s="74">
        <v>23.076923076923077</v>
      </c>
      <c r="CU6" s="17"/>
      <c r="CV6" s="74">
        <v>5</v>
      </c>
    </row>
    <row r="7" spans="1:100" s="13" customFormat="1" x14ac:dyDescent="0.3">
      <c r="A7" s="12">
        <v>4</v>
      </c>
      <c r="B7" s="12" t="s">
        <v>149</v>
      </c>
      <c r="C7" s="12" t="s">
        <v>92</v>
      </c>
      <c r="D7" s="12">
        <v>1</v>
      </c>
      <c r="E7" s="130">
        <v>45607</v>
      </c>
      <c r="F7" s="12">
        <v>1</v>
      </c>
      <c r="G7" s="12">
        <v>2</v>
      </c>
      <c r="H7" s="14">
        <v>1.35</v>
      </c>
      <c r="I7" s="12">
        <v>1</v>
      </c>
      <c r="J7" s="12">
        <v>0</v>
      </c>
      <c r="K7" s="12">
        <v>0</v>
      </c>
      <c r="L7" s="12">
        <v>100000</v>
      </c>
      <c r="M7" s="12">
        <v>7.6</v>
      </c>
      <c r="N7" s="15">
        <f t="shared" si="2"/>
        <v>13157.894736842105</v>
      </c>
      <c r="O7" s="12">
        <v>100000</v>
      </c>
      <c r="P7" s="12">
        <v>6.1</v>
      </c>
      <c r="Q7" s="15">
        <f t="shared" si="3"/>
        <v>16393.442622950821</v>
      </c>
      <c r="R7" s="12">
        <v>100000</v>
      </c>
      <c r="S7" s="12">
        <v>5.6</v>
      </c>
      <c r="T7" s="15">
        <f t="shared" si="4"/>
        <v>17857.142857142859</v>
      </c>
      <c r="U7" s="15">
        <v>1.8290155440414508</v>
      </c>
      <c r="V7" s="15">
        <v>49786.25</v>
      </c>
      <c r="W7" s="15">
        <v>25577.33</v>
      </c>
      <c r="X7" s="14">
        <v>1.19</v>
      </c>
      <c r="Y7" s="14">
        <v>0.55000000000000004</v>
      </c>
      <c r="Z7" s="14">
        <v>1</v>
      </c>
      <c r="AA7" s="15">
        <v>61.6580310880829</v>
      </c>
      <c r="AB7" s="15">
        <v>12.443438914027151</v>
      </c>
      <c r="AC7" s="15">
        <v>28.328611898016998</v>
      </c>
      <c r="AD7" s="14">
        <v>1.2090680100755666</v>
      </c>
      <c r="AE7" s="14">
        <v>1.93</v>
      </c>
      <c r="AF7" s="14">
        <v>4.42</v>
      </c>
      <c r="AG7" s="14">
        <v>3.53</v>
      </c>
      <c r="AH7" s="14">
        <f t="shared" si="5"/>
        <v>3530</v>
      </c>
      <c r="AI7" s="15">
        <v>8.5</v>
      </c>
      <c r="AJ7" s="15">
        <v>91.39</v>
      </c>
      <c r="AK7" s="15">
        <v>11.29</v>
      </c>
      <c r="AL7" s="15">
        <v>88.52</v>
      </c>
      <c r="AM7" s="15">
        <f t="shared" si="0"/>
        <v>398.53699999999998</v>
      </c>
      <c r="AN7" s="15">
        <f t="shared" si="1"/>
        <v>3124.7559999999999</v>
      </c>
      <c r="AO7" s="14">
        <v>8.5093602963259585</v>
      </c>
      <c r="AP7" s="14">
        <v>11.311491834485521</v>
      </c>
      <c r="AQ7" s="14"/>
      <c r="AR7" s="14">
        <f>AP7/$AQ$4</f>
        <v>1.0490462547986155</v>
      </c>
      <c r="AS7" s="14">
        <v>1.93</v>
      </c>
      <c r="AT7" s="14">
        <v>2.59</v>
      </c>
      <c r="AU7" s="14">
        <v>2.4</v>
      </c>
      <c r="AV7" s="15">
        <v>22.9</v>
      </c>
      <c r="AW7" s="15">
        <v>76.72</v>
      </c>
      <c r="AX7" s="15">
        <v>25.8</v>
      </c>
      <c r="AY7" s="15">
        <v>74.02</v>
      </c>
      <c r="AZ7" s="14">
        <v>22.987351937361971</v>
      </c>
      <c r="BA7" s="14">
        <v>25.846523742736927</v>
      </c>
      <c r="BB7" s="15">
        <v>887.5</v>
      </c>
      <c r="BC7" s="15">
        <v>20</v>
      </c>
      <c r="BD7" s="15">
        <v>1725</v>
      </c>
      <c r="BE7" s="15">
        <v>1065</v>
      </c>
      <c r="BF7" s="15">
        <v>3904</v>
      </c>
      <c r="BG7" s="15">
        <v>3568</v>
      </c>
      <c r="BH7" s="15">
        <v>332</v>
      </c>
      <c r="BI7" s="15">
        <v>482</v>
      </c>
      <c r="BJ7" s="15">
        <v>3198</v>
      </c>
      <c r="BK7" s="15">
        <v>2831</v>
      </c>
      <c r="BL7" s="15">
        <v>361</v>
      </c>
      <c r="BM7" s="15">
        <v>908</v>
      </c>
      <c r="BN7" s="15">
        <v>2328</v>
      </c>
      <c r="BO7" s="15">
        <v>1786</v>
      </c>
      <c r="BP7" s="15">
        <v>533</v>
      </c>
      <c r="BQ7" s="15">
        <v>2163</v>
      </c>
      <c r="BR7" s="15">
        <v>1601</v>
      </c>
      <c r="BS7" s="15">
        <v>558</v>
      </c>
      <c r="BT7" s="15">
        <v>13</v>
      </c>
      <c r="BU7" s="15">
        <v>965</v>
      </c>
      <c r="BV7" s="17">
        <v>105</v>
      </c>
      <c r="BW7" s="17">
        <v>104</v>
      </c>
      <c r="BX7" s="17">
        <v>111</v>
      </c>
      <c r="BY7" s="74">
        <v>3.8095238095238098</v>
      </c>
      <c r="BZ7" s="74">
        <v>16.346153846153847</v>
      </c>
      <c r="CA7" s="74">
        <v>9.0090090090090094</v>
      </c>
      <c r="CB7" s="17"/>
      <c r="CC7" s="17"/>
      <c r="CD7" s="17"/>
      <c r="CE7" s="74">
        <v>2.8571428571428572</v>
      </c>
      <c r="CF7" s="74">
        <v>24.03846153846154</v>
      </c>
      <c r="CG7" s="74">
        <v>0.90090090090090091</v>
      </c>
      <c r="CH7" s="74">
        <v>0.95238095238095244</v>
      </c>
      <c r="CJ7" s="17"/>
      <c r="CK7" s="17"/>
      <c r="CL7" s="74">
        <v>55.769230769230774</v>
      </c>
      <c r="CM7" s="74">
        <v>21.621621621621621</v>
      </c>
      <c r="CN7" s="74">
        <v>14.285714285714285</v>
      </c>
      <c r="CO7" s="74">
        <v>2.8846153846153846</v>
      </c>
      <c r="CP7" s="74">
        <v>10.810810810810811</v>
      </c>
      <c r="CQ7" s="74">
        <v>40</v>
      </c>
      <c r="CR7" s="74">
        <v>0.96153846153846156</v>
      </c>
      <c r="CS7" s="74">
        <v>36.936936936936938</v>
      </c>
      <c r="CT7" s="74">
        <v>38.095238095238095</v>
      </c>
      <c r="CU7" s="17"/>
      <c r="CV7" s="74">
        <v>20.72072072072072</v>
      </c>
    </row>
    <row r="8" spans="1:100" s="21" customFormat="1" x14ac:dyDescent="0.3">
      <c r="A8" s="18">
        <v>5</v>
      </c>
      <c r="B8" s="18" t="s">
        <v>515</v>
      </c>
      <c r="C8" s="18" t="s">
        <v>88</v>
      </c>
      <c r="D8" s="18">
        <v>2</v>
      </c>
      <c r="E8" s="129">
        <v>45621</v>
      </c>
      <c r="F8" s="18">
        <v>0</v>
      </c>
      <c r="G8" s="18">
        <v>0</v>
      </c>
      <c r="H8" s="19">
        <v>0.35</v>
      </c>
      <c r="I8" s="18">
        <v>1</v>
      </c>
      <c r="J8" s="18">
        <v>2</v>
      </c>
      <c r="K8" s="18">
        <v>0</v>
      </c>
      <c r="L8" s="18">
        <v>100000</v>
      </c>
      <c r="M8" s="18">
        <v>6.8</v>
      </c>
      <c r="N8" s="20">
        <f>(L8)/(M8)</f>
        <v>14705.882352941177</v>
      </c>
      <c r="O8" s="18">
        <v>100000</v>
      </c>
      <c r="P8" s="18">
        <v>6.6</v>
      </c>
      <c r="Q8" s="20">
        <f>(O8)/(P8)</f>
        <v>15151.515151515152</v>
      </c>
      <c r="R8" s="18">
        <v>100000</v>
      </c>
      <c r="S8" s="18">
        <v>3.7</v>
      </c>
      <c r="T8" s="20">
        <f>(R8)/(S8)</f>
        <v>27027.027027027027</v>
      </c>
      <c r="U8" s="20">
        <v>4.6956521739130439</v>
      </c>
      <c r="V8" s="20">
        <v>26603.88</v>
      </c>
      <c r="W8" s="20">
        <v>20262.73</v>
      </c>
      <c r="X8" s="19">
        <v>0.43</v>
      </c>
      <c r="Y8" s="19">
        <v>0.19</v>
      </c>
      <c r="Z8" s="19">
        <v>1.19</v>
      </c>
      <c r="AA8" s="20">
        <v>46.739130434782602</v>
      </c>
      <c r="AB8" s="20">
        <v>7.6923076923076916</v>
      </c>
      <c r="AC8" s="20">
        <v>25.265392781316347</v>
      </c>
      <c r="AD8" s="19">
        <v>0.2</v>
      </c>
      <c r="AE8" s="19">
        <v>0.92</v>
      </c>
      <c r="AF8" s="19">
        <v>2.4700000000000002</v>
      </c>
      <c r="AG8" s="19">
        <v>4.71</v>
      </c>
      <c r="AH8" s="19">
        <f>(AG8/100)*100000</f>
        <v>4710</v>
      </c>
      <c r="AI8" s="20">
        <v>10.46</v>
      </c>
      <c r="AJ8" s="20">
        <v>89.33</v>
      </c>
      <c r="AK8" s="20">
        <v>7.26</v>
      </c>
      <c r="AL8" s="20">
        <v>92.62</v>
      </c>
      <c r="AM8" s="20">
        <f>(AK8/100)*(AH8)</f>
        <v>341.94599999999997</v>
      </c>
      <c r="AN8" s="20">
        <f>(AL8/100)*(AH8)</f>
        <v>4362.402</v>
      </c>
      <c r="AO8" s="19">
        <v>10.482012225673918</v>
      </c>
      <c r="AP8" s="19">
        <v>7.2687224669603516</v>
      </c>
      <c r="AQ8" s="19"/>
      <c r="AR8" s="19"/>
      <c r="AS8" s="19">
        <v>0.92</v>
      </c>
      <c r="AT8" s="19">
        <v>1.87</v>
      </c>
      <c r="AU8" s="19">
        <v>2.85</v>
      </c>
      <c r="AV8" s="20">
        <v>31.37</v>
      </c>
      <c r="AW8" s="20">
        <v>68.510000000000005</v>
      </c>
      <c r="AX8" s="20">
        <v>33.07</v>
      </c>
      <c r="AY8" s="20">
        <v>66.67</v>
      </c>
      <c r="AZ8" s="19">
        <v>31.407689227072481</v>
      </c>
      <c r="BA8" s="19">
        <v>33.156206135953475</v>
      </c>
      <c r="BB8" s="20">
        <v>92700</v>
      </c>
      <c r="BC8" s="20">
        <v>184</v>
      </c>
      <c r="BD8" s="20">
        <v>864</v>
      </c>
      <c r="BE8" s="20">
        <v>401</v>
      </c>
      <c r="BF8" s="20">
        <v>2324</v>
      </c>
      <c r="BG8" s="20">
        <v>2076</v>
      </c>
      <c r="BH8" s="20">
        <v>243</v>
      </c>
      <c r="BI8" s="20">
        <v>175</v>
      </c>
      <c r="BJ8" s="20">
        <v>4352</v>
      </c>
      <c r="BK8" s="20">
        <v>316</v>
      </c>
      <c r="BL8" s="20">
        <v>4031</v>
      </c>
      <c r="BM8" s="20">
        <v>1102</v>
      </c>
      <c r="BN8" s="20">
        <v>1769</v>
      </c>
      <c r="BO8" s="20">
        <v>1212</v>
      </c>
      <c r="BP8" s="20">
        <v>555</v>
      </c>
      <c r="BQ8" s="20">
        <v>2658</v>
      </c>
      <c r="BR8" s="20">
        <v>1772</v>
      </c>
      <c r="BS8" s="20">
        <v>879</v>
      </c>
      <c r="BT8" s="20">
        <v>4</v>
      </c>
      <c r="BU8" s="20">
        <v>1158</v>
      </c>
      <c r="BV8" s="82"/>
      <c r="BW8" s="82"/>
      <c r="BX8" s="82"/>
      <c r="BY8" s="82"/>
      <c r="BZ8" s="82"/>
      <c r="CA8" s="82"/>
      <c r="CB8" s="82"/>
      <c r="CC8" s="82"/>
      <c r="CD8" s="82"/>
      <c r="CE8" s="82"/>
      <c r="CF8" s="82"/>
      <c r="CG8" s="82"/>
      <c r="CH8" s="82"/>
      <c r="CI8" s="82"/>
      <c r="CJ8" s="82"/>
      <c r="CK8" s="82"/>
      <c r="CL8" s="82"/>
      <c r="CM8" s="82"/>
      <c r="CN8" s="82"/>
      <c r="CO8" s="82"/>
      <c r="CP8" s="82"/>
      <c r="CQ8" s="82"/>
      <c r="CR8" s="82"/>
      <c r="CS8" s="82"/>
      <c r="CT8" s="82"/>
      <c r="CU8" s="82"/>
      <c r="CV8" s="82"/>
    </row>
    <row r="9" spans="1:100" s="13" customFormat="1" x14ac:dyDescent="0.3">
      <c r="A9" s="12">
        <v>6</v>
      </c>
      <c r="B9" s="12" t="s">
        <v>516</v>
      </c>
      <c r="C9" s="12" t="s">
        <v>92</v>
      </c>
      <c r="D9" s="12">
        <v>2</v>
      </c>
      <c r="E9" s="130">
        <v>45621</v>
      </c>
      <c r="F9" s="12">
        <v>0</v>
      </c>
      <c r="G9" s="12">
        <v>4</v>
      </c>
      <c r="H9" s="14">
        <v>1</v>
      </c>
      <c r="I9" s="12">
        <v>1</v>
      </c>
      <c r="J9" s="12">
        <v>0</v>
      </c>
      <c r="K9" s="12">
        <v>0</v>
      </c>
      <c r="L9" s="12">
        <v>100000</v>
      </c>
      <c r="M9" s="12">
        <v>10.1</v>
      </c>
      <c r="N9" s="15">
        <f t="shared" si="2"/>
        <v>9900.9900990099013</v>
      </c>
      <c r="O9" s="17">
        <v>100000</v>
      </c>
      <c r="P9" s="17">
        <v>9.6999999999999993</v>
      </c>
      <c r="Q9" s="15">
        <f>(O9)/(P9)</f>
        <v>10309.278350515464</v>
      </c>
      <c r="R9" s="12">
        <v>100000</v>
      </c>
      <c r="S9" s="12">
        <v>5.4</v>
      </c>
      <c r="T9" s="15">
        <f t="shared" si="4"/>
        <v>18518.518518518518</v>
      </c>
      <c r="U9" s="15">
        <v>3.797752808988764</v>
      </c>
      <c r="V9" s="15">
        <v>29522.28</v>
      </c>
      <c r="W9" s="15">
        <v>27215.86</v>
      </c>
      <c r="X9" s="14">
        <v>0.47</v>
      </c>
      <c r="Y9" s="14">
        <v>0.19</v>
      </c>
      <c r="Z9" s="14">
        <v>1.33</v>
      </c>
      <c r="AA9" s="15">
        <v>52.80898876404494</v>
      </c>
      <c r="AB9" s="15">
        <v>6.7857142857142865</v>
      </c>
      <c r="AC9" s="15">
        <v>34.102564102564102</v>
      </c>
      <c r="AD9" s="14">
        <v>0.16</v>
      </c>
      <c r="AE9" s="14">
        <v>0.89</v>
      </c>
      <c r="AF9" s="14">
        <v>2.8</v>
      </c>
      <c r="AG9" s="14">
        <v>3.9</v>
      </c>
      <c r="AH9" s="14">
        <f t="shared" si="5"/>
        <v>3900</v>
      </c>
      <c r="AI9" s="15">
        <v>9.44</v>
      </c>
      <c r="AJ9" s="15">
        <v>90.56</v>
      </c>
      <c r="AK9" s="15">
        <v>10.9</v>
      </c>
      <c r="AL9" s="15">
        <v>88.81</v>
      </c>
      <c r="AM9" s="15">
        <f t="shared" si="0"/>
        <v>425.1</v>
      </c>
      <c r="AN9" s="15">
        <f t="shared" si="1"/>
        <v>3463.59</v>
      </c>
      <c r="AO9" s="14">
        <v>9.44</v>
      </c>
      <c r="AP9" s="14">
        <v>10.931701935613278</v>
      </c>
      <c r="AQ9" s="14"/>
      <c r="AR9" s="14"/>
      <c r="AS9" s="14">
        <v>0.89</v>
      </c>
      <c r="AT9" s="14">
        <v>1.88</v>
      </c>
      <c r="AU9" s="14">
        <v>3.24</v>
      </c>
      <c r="AV9" s="15">
        <v>23.49</v>
      </c>
      <c r="AW9" s="15">
        <v>76.33</v>
      </c>
      <c r="AX9" s="15">
        <v>29.02</v>
      </c>
      <c r="AY9" s="15">
        <v>70.8</v>
      </c>
      <c r="AZ9" s="14">
        <v>23.532358244840712</v>
      </c>
      <c r="BA9" s="14">
        <v>29.072330194349831</v>
      </c>
      <c r="BB9" s="15">
        <v>93494</v>
      </c>
      <c r="BC9" s="15">
        <v>144</v>
      </c>
      <c r="BD9" s="15">
        <v>797</v>
      </c>
      <c r="BE9" s="15">
        <v>425</v>
      </c>
      <c r="BF9" s="15">
        <v>2499</v>
      </c>
      <c r="BG9" s="15">
        <v>2263</v>
      </c>
      <c r="BH9" s="15">
        <v>236</v>
      </c>
      <c r="BI9" s="15">
        <v>167</v>
      </c>
      <c r="BJ9" s="15">
        <v>3413</v>
      </c>
      <c r="BK9" s="15">
        <v>372</v>
      </c>
      <c r="BL9" s="15">
        <v>3031</v>
      </c>
      <c r="BM9" s="15">
        <v>1164</v>
      </c>
      <c r="BN9" s="15">
        <v>1694</v>
      </c>
      <c r="BO9" s="15">
        <v>1293</v>
      </c>
      <c r="BP9" s="15">
        <v>398</v>
      </c>
      <c r="BQ9" s="15">
        <v>2860</v>
      </c>
      <c r="BR9" s="15">
        <v>2025</v>
      </c>
      <c r="BS9" s="15">
        <v>830</v>
      </c>
      <c r="BT9" s="15">
        <v>11</v>
      </c>
      <c r="BU9" s="15">
        <v>1098</v>
      </c>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row>
    <row r="10" spans="1:100" s="13" customFormat="1" x14ac:dyDescent="0.3">
      <c r="A10" s="12">
        <v>7</v>
      </c>
      <c r="B10" s="12" t="s">
        <v>149</v>
      </c>
      <c r="C10" s="12" t="s">
        <v>92</v>
      </c>
      <c r="D10" s="12">
        <v>2</v>
      </c>
      <c r="E10" s="130">
        <v>45621</v>
      </c>
      <c r="F10" s="12">
        <v>1</v>
      </c>
      <c r="G10" s="12">
        <v>4</v>
      </c>
      <c r="H10" s="14">
        <v>2.48</v>
      </c>
      <c r="I10" s="12">
        <v>1</v>
      </c>
      <c r="J10" s="12">
        <v>0</v>
      </c>
      <c r="K10" s="12">
        <v>1</v>
      </c>
      <c r="L10" s="12">
        <v>100000</v>
      </c>
      <c r="M10" s="12">
        <v>6.6</v>
      </c>
      <c r="N10" s="15">
        <f t="shared" si="2"/>
        <v>15151.515151515152</v>
      </c>
      <c r="O10" s="12">
        <v>100000</v>
      </c>
      <c r="P10" s="12">
        <v>6.9</v>
      </c>
      <c r="Q10" s="15">
        <f>(O10)/(P10)</f>
        <v>14492.753623188404</v>
      </c>
      <c r="R10" s="12">
        <v>100000</v>
      </c>
      <c r="S10" s="12">
        <v>4.4000000000000004</v>
      </c>
      <c r="T10" s="15">
        <f t="shared" si="4"/>
        <v>22727.272727272724</v>
      </c>
      <c r="U10" s="15">
        <v>4.5571428571428569</v>
      </c>
      <c r="V10" s="15">
        <v>27641.06</v>
      </c>
      <c r="W10" s="15">
        <v>22698.26</v>
      </c>
      <c r="X10" s="14">
        <v>0.36</v>
      </c>
      <c r="Y10" s="14">
        <v>0.1</v>
      </c>
      <c r="Z10" s="14">
        <v>1.1299999999999999</v>
      </c>
      <c r="AA10" s="15">
        <v>51.428571428571438</v>
      </c>
      <c r="AB10" s="15">
        <v>4.2918454935622314</v>
      </c>
      <c r="AC10" s="15">
        <v>31.830985915492953</v>
      </c>
      <c r="AD10" s="14">
        <v>0.13</v>
      </c>
      <c r="AE10" s="14">
        <v>0.7</v>
      </c>
      <c r="AF10" s="14">
        <v>2.33</v>
      </c>
      <c r="AG10" s="14">
        <v>3.55</v>
      </c>
      <c r="AH10" s="14">
        <f t="shared" si="5"/>
        <v>3549.9999999999995</v>
      </c>
      <c r="AI10" s="15">
        <v>9.4</v>
      </c>
      <c r="AJ10" s="15">
        <v>90.51</v>
      </c>
      <c r="AK10" s="15">
        <v>10.38</v>
      </c>
      <c r="AL10" s="15">
        <v>89.22</v>
      </c>
      <c r="AM10" s="15">
        <f t="shared" si="0"/>
        <v>368.48999999999995</v>
      </c>
      <c r="AN10" s="15">
        <f t="shared" si="1"/>
        <v>3167.3099999999995</v>
      </c>
      <c r="AO10" s="14">
        <v>9.4084676208587723</v>
      </c>
      <c r="AP10" s="14">
        <v>10.421686746987953</v>
      </c>
      <c r="AQ10" s="14"/>
      <c r="AR10" s="14">
        <f t="shared" ref="AR10:AR16" si="6">AP10/$AQ$4</f>
        <v>0.96652427554082521</v>
      </c>
      <c r="AS10" s="14">
        <v>0.7</v>
      </c>
      <c r="AT10" s="14">
        <v>1.8</v>
      </c>
      <c r="AU10" s="14">
        <v>2.75</v>
      </c>
      <c r="AV10" s="15">
        <v>28.52</v>
      </c>
      <c r="AW10" s="15">
        <v>71.36</v>
      </c>
      <c r="AX10" s="15">
        <v>2.75</v>
      </c>
      <c r="AY10" s="15">
        <v>33.049999999999997</v>
      </c>
      <c r="AZ10" s="14">
        <v>66.790000000000006</v>
      </c>
      <c r="BA10" s="14">
        <v>33.102964743589745</v>
      </c>
      <c r="BB10" s="15">
        <v>95898</v>
      </c>
      <c r="BC10" s="15">
        <v>125</v>
      </c>
      <c r="BD10" s="15">
        <v>649</v>
      </c>
      <c r="BE10" s="15">
        <v>339</v>
      </c>
      <c r="BF10" s="15">
        <v>2149</v>
      </c>
      <c r="BG10" s="15">
        <v>1945</v>
      </c>
      <c r="BH10" s="15">
        <v>202</v>
      </c>
      <c r="BI10" s="15">
        <v>90</v>
      </c>
      <c r="BJ10" s="15">
        <v>3199</v>
      </c>
      <c r="BK10" s="15">
        <v>332</v>
      </c>
      <c r="BL10" s="15">
        <v>2854</v>
      </c>
      <c r="BM10" s="15">
        <v>1020</v>
      </c>
      <c r="BN10" s="15">
        <v>1669</v>
      </c>
      <c r="BO10" s="15">
        <v>1191</v>
      </c>
      <c r="BP10" s="15">
        <v>476</v>
      </c>
      <c r="BQ10" s="15">
        <v>2502</v>
      </c>
      <c r="BR10" s="15">
        <v>1671</v>
      </c>
      <c r="BS10" s="15">
        <v>827</v>
      </c>
      <c r="BT10" s="15">
        <v>17</v>
      </c>
      <c r="BU10" s="15">
        <v>685</v>
      </c>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row>
    <row r="11" spans="1:100" s="13" customFormat="1" x14ac:dyDescent="0.3">
      <c r="A11" s="12">
        <v>8</v>
      </c>
      <c r="B11" s="12" t="s">
        <v>149</v>
      </c>
      <c r="C11" s="12" t="s">
        <v>92</v>
      </c>
      <c r="D11" s="12">
        <v>2</v>
      </c>
      <c r="E11" s="130">
        <v>45621</v>
      </c>
      <c r="F11" s="12">
        <v>1</v>
      </c>
      <c r="G11" s="12">
        <v>0</v>
      </c>
      <c r="H11" s="14">
        <v>0.62</v>
      </c>
      <c r="I11" s="12">
        <v>0</v>
      </c>
      <c r="J11" s="12">
        <v>0</v>
      </c>
      <c r="K11" s="12">
        <v>0</v>
      </c>
      <c r="L11" s="12"/>
      <c r="M11" s="12"/>
      <c r="N11" s="15"/>
      <c r="O11" s="12">
        <v>100000</v>
      </c>
      <c r="P11" s="12">
        <v>59.5</v>
      </c>
      <c r="Q11" s="15">
        <f t="shared" si="3"/>
        <v>1680.672268907563</v>
      </c>
      <c r="R11" s="12">
        <v>100000</v>
      </c>
      <c r="S11" s="12">
        <v>30.9</v>
      </c>
      <c r="T11" s="15">
        <f t="shared" si="4"/>
        <v>3236.245954692557</v>
      </c>
      <c r="U11" s="15"/>
      <c r="V11" s="15"/>
      <c r="W11" s="15">
        <v>9354.7199999999993</v>
      </c>
      <c r="X11" s="14">
        <v>1.45</v>
      </c>
      <c r="Y11" s="14">
        <v>0.08</v>
      </c>
      <c r="Z11" s="14">
        <v>0.28000000000000003</v>
      </c>
      <c r="AA11" s="15">
        <v>60.669456066945607</v>
      </c>
      <c r="AB11" s="15">
        <v>3.7914691943127963</v>
      </c>
      <c r="AC11" s="15">
        <v>8.7227414330218078</v>
      </c>
      <c r="AD11" s="14">
        <v>0.44</v>
      </c>
      <c r="AE11" s="14">
        <v>2.39</v>
      </c>
      <c r="AF11" s="14">
        <v>2.11</v>
      </c>
      <c r="AG11" s="14">
        <v>3.21</v>
      </c>
      <c r="AH11" s="14">
        <f t="shared" si="5"/>
        <v>3209.9999999999995</v>
      </c>
      <c r="AI11" s="15">
        <v>16.95</v>
      </c>
      <c r="AJ11" s="15">
        <v>82.86</v>
      </c>
      <c r="AK11" s="15">
        <v>15.91</v>
      </c>
      <c r="AL11" s="15">
        <v>83.42</v>
      </c>
      <c r="AM11" s="15">
        <f t="shared" si="0"/>
        <v>510.7109999999999</v>
      </c>
      <c r="AN11" s="15">
        <f t="shared" si="1"/>
        <v>2677.7819999999997</v>
      </c>
      <c r="AO11" s="14">
        <v>16.982266305981362</v>
      </c>
      <c r="AP11" s="14">
        <v>16.01731601731602</v>
      </c>
      <c r="AQ11" s="14"/>
      <c r="AR11" s="14">
        <f t="shared" si="6"/>
        <v>1.4854720867732023</v>
      </c>
      <c r="AS11" s="14">
        <v>2.39</v>
      </c>
      <c r="AT11" s="14">
        <v>1.43</v>
      </c>
      <c r="AU11" s="14">
        <v>2.65</v>
      </c>
      <c r="AV11" s="15">
        <v>15.53</v>
      </c>
      <c r="AW11" s="15">
        <v>83.93</v>
      </c>
      <c r="AX11" s="15">
        <v>2.65</v>
      </c>
      <c r="AY11" s="15">
        <v>25.12</v>
      </c>
      <c r="AZ11" s="14">
        <v>74.209999999999994</v>
      </c>
      <c r="BA11" s="14">
        <v>25.289439242927614</v>
      </c>
      <c r="BB11" s="15">
        <v>96224</v>
      </c>
      <c r="BC11" s="15">
        <v>402</v>
      </c>
      <c r="BD11" s="15"/>
      <c r="BE11" s="15"/>
      <c r="BF11" s="15">
        <v>1634</v>
      </c>
      <c r="BG11" s="15">
        <v>1354</v>
      </c>
      <c r="BH11" s="15">
        <v>277</v>
      </c>
      <c r="BI11" s="15">
        <v>62</v>
      </c>
      <c r="BJ11" s="15">
        <v>2364</v>
      </c>
      <c r="BK11" s="15">
        <v>376</v>
      </c>
      <c r="BL11" s="15">
        <v>1972</v>
      </c>
      <c r="BM11" s="15">
        <v>203</v>
      </c>
      <c r="BN11" s="15">
        <v>1095</v>
      </c>
      <c r="BO11" s="15">
        <v>919</v>
      </c>
      <c r="BP11" s="15">
        <v>170</v>
      </c>
      <c r="BQ11" s="15">
        <v>1931</v>
      </c>
      <c r="BR11" s="15">
        <v>1433</v>
      </c>
      <c r="BS11" s="15">
        <v>485</v>
      </c>
      <c r="BT11" s="15">
        <v>5</v>
      </c>
      <c r="BU11" s="15">
        <v>808</v>
      </c>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row>
    <row r="12" spans="1:100" s="13" customFormat="1" x14ac:dyDescent="0.3">
      <c r="A12" s="12">
        <v>9</v>
      </c>
      <c r="B12" s="12" t="s">
        <v>148</v>
      </c>
      <c r="C12" s="12" t="s">
        <v>92</v>
      </c>
      <c r="D12" s="12">
        <v>2</v>
      </c>
      <c r="E12" s="130">
        <v>45621</v>
      </c>
      <c r="F12" s="12">
        <v>2</v>
      </c>
      <c r="G12" s="12">
        <v>4</v>
      </c>
      <c r="H12" s="14">
        <v>2.8</v>
      </c>
      <c r="I12" s="12">
        <v>1</v>
      </c>
      <c r="J12" s="12">
        <v>0</v>
      </c>
      <c r="K12" s="12">
        <v>0</v>
      </c>
      <c r="L12" s="12">
        <v>100000</v>
      </c>
      <c r="M12" s="12">
        <v>5.6</v>
      </c>
      <c r="N12" s="15">
        <f t="shared" si="2"/>
        <v>17857.142857142859</v>
      </c>
      <c r="O12" s="12">
        <v>100000</v>
      </c>
      <c r="P12" s="12">
        <v>5.5</v>
      </c>
      <c r="Q12" s="15">
        <f t="shared" si="3"/>
        <v>18181.81818181818</v>
      </c>
      <c r="R12" s="12">
        <v>100000</v>
      </c>
      <c r="S12" s="12">
        <v>3.4</v>
      </c>
      <c r="T12" s="15">
        <f t="shared" si="4"/>
        <v>29411.764705882353</v>
      </c>
      <c r="U12" s="15">
        <v>4.4533333333333331</v>
      </c>
      <c r="V12" s="15">
        <v>13213.77</v>
      </c>
      <c r="W12" s="15">
        <v>8511.18</v>
      </c>
      <c r="X12" s="14">
        <v>0.14000000000000001</v>
      </c>
      <c r="Y12" s="14">
        <v>0.03</v>
      </c>
      <c r="Z12" s="14">
        <v>0.2</v>
      </c>
      <c r="AA12" s="15">
        <v>18.666666666666668</v>
      </c>
      <c r="AB12" s="15">
        <v>1.7045454545454544</v>
      </c>
      <c r="AC12" s="15">
        <v>5.1413881748071981</v>
      </c>
      <c r="AD12" s="14">
        <v>0.15</v>
      </c>
      <c r="AE12" s="14">
        <v>0.75</v>
      </c>
      <c r="AF12" s="14">
        <v>1.76</v>
      </c>
      <c r="AG12" s="14">
        <v>3.89</v>
      </c>
      <c r="AH12" s="14">
        <f t="shared" si="5"/>
        <v>3890.0000000000005</v>
      </c>
      <c r="AI12" s="15">
        <v>12.44</v>
      </c>
      <c r="AJ12" s="15">
        <v>87.37</v>
      </c>
      <c r="AK12" s="15">
        <v>14.81</v>
      </c>
      <c r="AL12" s="15">
        <v>85.13</v>
      </c>
      <c r="AM12" s="15">
        <f t="shared" si="0"/>
        <v>576.10900000000015</v>
      </c>
      <c r="AN12" s="15">
        <f t="shared" si="1"/>
        <v>3311.5570000000002</v>
      </c>
      <c r="AO12" s="14">
        <v>12.463680993888387</v>
      </c>
      <c r="AP12" s="14">
        <v>14.818891334800883</v>
      </c>
      <c r="AQ12" s="14"/>
      <c r="AR12" s="14">
        <f t="shared" si="6"/>
        <v>1.3743282214681971</v>
      </c>
      <c r="AS12" s="14">
        <v>0.75</v>
      </c>
      <c r="AT12" s="14">
        <v>1.45</v>
      </c>
      <c r="AU12" s="14">
        <v>2.93</v>
      </c>
      <c r="AV12" s="15">
        <v>27.03</v>
      </c>
      <c r="AW12" s="15">
        <v>72.900000000000006</v>
      </c>
      <c r="AX12" s="15">
        <v>2.93</v>
      </c>
      <c r="AY12" s="15">
        <v>31.44</v>
      </c>
      <c r="AZ12" s="14">
        <v>68.36</v>
      </c>
      <c r="BA12" s="14">
        <v>31.503006012024048</v>
      </c>
      <c r="BB12" s="15">
        <v>92548</v>
      </c>
      <c r="BC12" s="15">
        <v>140</v>
      </c>
      <c r="BD12" s="15">
        <v>674</v>
      </c>
      <c r="BE12" s="15">
        <v>127</v>
      </c>
      <c r="BF12" s="15">
        <v>1568</v>
      </c>
      <c r="BG12" s="15">
        <v>1370</v>
      </c>
      <c r="BH12" s="15">
        <v>195</v>
      </c>
      <c r="BI12" s="15">
        <v>29</v>
      </c>
      <c r="BJ12" s="15">
        <v>3390</v>
      </c>
      <c r="BK12" s="15">
        <v>502</v>
      </c>
      <c r="BL12" s="15">
        <v>2886</v>
      </c>
      <c r="BM12" s="15">
        <v>170</v>
      </c>
      <c r="BN12" s="15">
        <v>1295</v>
      </c>
      <c r="BO12" s="15">
        <v>944</v>
      </c>
      <c r="BP12" s="15">
        <v>350</v>
      </c>
      <c r="BQ12" s="15">
        <v>2573</v>
      </c>
      <c r="BR12" s="15">
        <v>1759</v>
      </c>
      <c r="BS12" s="15">
        <v>809</v>
      </c>
      <c r="BT12" s="15">
        <v>21</v>
      </c>
      <c r="BU12" s="15">
        <v>748</v>
      </c>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row>
    <row r="13" spans="1:100" s="13" customFormat="1" x14ac:dyDescent="0.3">
      <c r="A13" s="12">
        <v>10</v>
      </c>
      <c r="B13" s="12" t="s">
        <v>151</v>
      </c>
      <c r="C13" s="12" t="s">
        <v>92</v>
      </c>
      <c r="D13" s="12">
        <v>2</v>
      </c>
      <c r="E13" s="130">
        <v>45621</v>
      </c>
      <c r="F13" s="12">
        <v>4</v>
      </c>
      <c r="G13" s="12">
        <v>4</v>
      </c>
      <c r="H13" s="14">
        <v>5.71</v>
      </c>
      <c r="I13" s="12">
        <v>0</v>
      </c>
      <c r="J13" s="12">
        <v>0</v>
      </c>
      <c r="K13" s="12">
        <v>0</v>
      </c>
      <c r="L13" s="12"/>
      <c r="M13" s="12"/>
      <c r="N13" s="15"/>
      <c r="O13" s="12">
        <v>100000</v>
      </c>
      <c r="P13" s="12">
        <v>17.100000000000001</v>
      </c>
      <c r="Q13" s="15">
        <f t="shared" si="3"/>
        <v>5847.9532163742688</v>
      </c>
      <c r="R13" s="12">
        <v>100000</v>
      </c>
      <c r="S13" s="12">
        <v>8.1</v>
      </c>
      <c r="T13" s="15">
        <f t="shared" si="4"/>
        <v>12345.679012345679</v>
      </c>
      <c r="U13" s="15"/>
      <c r="V13" s="15"/>
      <c r="W13" s="15">
        <v>8370.65</v>
      </c>
      <c r="X13" s="14">
        <v>0.02</v>
      </c>
      <c r="Y13" s="14">
        <v>0.03</v>
      </c>
      <c r="Z13" s="14">
        <v>0.05</v>
      </c>
      <c r="AA13" s="15">
        <v>1.7699115044247791</v>
      </c>
      <c r="AB13" s="15">
        <v>4.7619047619047619</v>
      </c>
      <c r="AC13" s="15">
        <v>4.6728971962616823</v>
      </c>
      <c r="AD13" s="14">
        <v>0.2</v>
      </c>
      <c r="AE13" s="14">
        <v>1.1299999999999999</v>
      </c>
      <c r="AF13" s="14">
        <v>0.63</v>
      </c>
      <c r="AG13" s="14">
        <v>1.07</v>
      </c>
      <c r="AH13" s="14">
        <f t="shared" si="5"/>
        <v>1070.0000000000002</v>
      </c>
      <c r="AI13" s="15">
        <v>8.9499999999999993</v>
      </c>
      <c r="AJ13" s="15">
        <v>90.53</v>
      </c>
      <c r="AK13" s="15">
        <v>9.77</v>
      </c>
      <c r="AL13" s="15">
        <v>89.71</v>
      </c>
      <c r="AM13" s="15">
        <f t="shared" si="0"/>
        <v>104.53900000000002</v>
      </c>
      <c r="AN13" s="15">
        <f t="shared" si="1"/>
        <v>959.89700000000005</v>
      </c>
      <c r="AO13" s="14">
        <v>8.9967832730197017</v>
      </c>
      <c r="AP13" s="14">
        <v>9.8210695617209485</v>
      </c>
      <c r="AQ13" s="14"/>
      <c r="AR13" s="14">
        <f t="shared" si="6"/>
        <v>0.91082205535700134</v>
      </c>
      <c r="AS13" s="14">
        <v>1.1299999999999999</v>
      </c>
      <c r="AT13" s="14">
        <v>0.73</v>
      </c>
      <c r="AU13" s="14">
        <v>1.06</v>
      </c>
      <c r="AV13" s="15">
        <v>8.32</v>
      </c>
      <c r="AW13" s="15">
        <v>91.52</v>
      </c>
      <c r="AX13" s="15">
        <v>1.06</v>
      </c>
      <c r="AY13" s="15">
        <v>9.07</v>
      </c>
      <c r="AZ13" s="14">
        <v>90.4</v>
      </c>
      <c r="BA13" s="14">
        <v>9.1183271338091885</v>
      </c>
      <c r="BB13" s="15">
        <v>96324</v>
      </c>
      <c r="BC13" s="15">
        <v>186</v>
      </c>
      <c r="BD13" s="15"/>
      <c r="BE13" s="15"/>
      <c r="BF13" s="15">
        <v>570</v>
      </c>
      <c r="BG13" s="15">
        <v>516</v>
      </c>
      <c r="BH13" s="15">
        <v>51</v>
      </c>
      <c r="BI13" s="15">
        <v>29</v>
      </c>
      <c r="BJ13" s="15">
        <v>952</v>
      </c>
      <c r="BK13" s="15">
        <v>93</v>
      </c>
      <c r="BL13" s="15">
        <v>854</v>
      </c>
      <c r="BM13" s="15">
        <v>47</v>
      </c>
      <c r="BN13" s="15">
        <v>637</v>
      </c>
      <c r="BO13" s="15">
        <v>583</v>
      </c>
      <c r="BP13" s="15">
        <v>53</v>
      </c>
      <c r="BQ13" s="15">
        <v>948</v>
      </c>
      <c r="BR13" s="15">
        <v>857</v>
      </c>
      <c r="BS13" s="15">
        <v>86</v>
      </c>
      <c r="BT13" s="15">
        <v>42</v>
      </c>
      <c r="BU13" s="15">
        <v>735</v>
      </c>
      <c r="BV13" s="17">
        <v>103</v>
      </c>
      <c r="BW13" s="17">
        <v>100</v>
      </c>
      <c r="BX13" s="17">
        <v>102</v>
      </c>
      <c r="BY13" s="17"/>
      <c r="BZ13" s="17"/>
      <c r="CA13" s="17"/>
      <c r="CB13" s="17"/>
      <c r="CC13" s="1">
        <v>23</v>
      </c>
      <c r="CD13" s="1">
        <v>38</v>
      </c>
      <c r="CE13" s="74">
        <v>64.077669902912632</v>
      </c>
      <c r="CF13" s="1">
        <v>37</v>
      </c>
      <c r="CG13" s="1">
        <v>28</v>
      </c>
      <c r="CH13" s="17"/>
      <c r="CI13" s="17"/>
      <c r="CJ13" s="17"/>
      <c r="CK13" s="74">
        <v>23.300970873786408</v>
      </c>
      <c r="CL13" s="1">
        <v>28</v>
      </c>
      <c r="CM13" s="1">
        <v>28</v>
      </c>
      <c r="CN13" s="17"/>
      <c r="CO13" s="17"/>
      <c r="CP13" s="17"/>
      <c r="CQ13" s="74">
        <v>8.7378640776699026</v>
      </c>
      <c r="CR13" s="1">
        <v>10</v>
      </c>
      <c r="CS13" s="1">
        <v>4</v>
      </c>
      <c r="CT13" s="74">
        <v>3.8834951456310676</v>
      </c>
      <c r="CU13" s="1">
        <v>2</v>
      </c>
      <c r="CV13" s="1">
        <v>4</v>
      </c>
    </row>
    <row r="14" spans="1:100" s="13" customFormat="1" x14ac:dyDescent="0.3">
      <c r="A14" s="12">
        <v>11</v>
      </c>
      <c r="B14" s="12" t="s">
        <v>151</v>
      </c>
      <c r="C14" s="12" t="s">
        <v>92</v>
      </c>
      <c r="D14" s="12">
        <v>2</v>
      </c>
      <c r="E14" s="130">
        <v>45621</v>
      </c>
      <c r="F14" s="12">
        <v>4</v>
      </c>
      <c r="G14" s="12">
        <v>0</v>
      </c>
      <c r="H14" s="14">
        <v>1.84</v>
      </c>
      <c r="I14" s="17">
        <v>1</v>
      </c>
      <c r="J14" s="12">
        <v>1</v>
      </c>
      <c r="K14" s="12">
        <v>0</v>
      </c>
      <c r="L14" s="12">
        <v>100000</v>
      </c>
      <c r="M14" s="12">
        <v>6.7</v>
      </c>
      <c r="N14" s="15">
        <f t="shared" si="2"/>
        <v>14925.373134328358</v>
      </c>
      <c r="O14" s="12">
        <v>100000</v>
      </c>
      <c r="P14" s="12">
        <v>6.4</v>
      </c>
      <c r="Q14" s="15">
        <f t="shared" si="3"/>
        <v>15625</v>
      </c>
      <c r="R14" s="12">
        <v>100000</v>
      </c>
      <c r="S14" s="12">
        <v>4.3</v>
      </c>
      <c r="T14" s="15">
        <f t="shared" si="4"/>
        <v>23255.813953488374</v>
      </c>
      <c r="U14" s="15">
        <v>1.7228260869565217</v>
      </c>
      <c r="V14" s="15">
        <v>11661.35</v>
      </c>
      <c r="W14" s="15">
        <v>11329.58</v>
      </c>
      <c r="X14" s="14">
        <v>0.25</v>
      </c>
      <c r="Y14" s="14">
        <v>0.09</v>
      </c>
      <c r="Z14" s="14">
        <v>0.53</v>
      </c>
      <c r="AA14" s="15">
        <v>13.586956521739129</v>
      </c>
      <c r="AB14" s="15">
        <v>2.7027027027027026</v>
      </c>
      <c r="AC14" s="15">
        <v>9.2495636998254795</v>
      </c>
      <c r="AD14" s="14">
        <v>1.3</v>
      </c>
      <c r="AE14" s="14">
        <v>1.84</v>
      </c>
      <c r="AF14" s="14">
        <v>3.33</v>
      </c>
      <c r="AG14" s="14">
        <v>5.73</v>
      </c>
      <c r="AH14" s="14">
        <f t="shared" si="5"/>
        <v>5730</v>
      </c>
      <c r="AI14" s="15">
        <v>5.36</v>
      </c>
      <c r="AJ14" s="15">
        <v>94.48</v>
      </c>
      <c r="AK14" s="15">
        <v>6.15</v>
      </c>
      <c r="AL14" s="15">
        <v>93.7</v>
      </c>
      <c r="AM14" s="15">
        <f t="shared" si="0"/>
        <v>352.39500000000004</v>
      </c>
      <c r="AN14" s="15">
        <f t="shared" si="1"/>
        <v>5369.01</v>
      </c>
      <c r="AO14" s="14">
        <v>5.3685897435897436</v>
      </c>
      <c r="AP14" s="14">
        <v>6.1592388582874307</v>
      </c>
      <c r="AQ14" s="14"/>
      <c r="AR14" s="14">
        <f t="shared" si="6"/>
        <v>0.57121788630901738</v>
      </c>
      <c r="AS14" s="14">
        <v>1.84</v>
      </c>
      <c r="AT14" s="14">
        <v>2.4300000000000002</v>
      </c>
      <c r="AU14" s="14">
        <v>4.7300000000000004</v>
      </c>
      <c r="AV14" s="15">
        <v>11.97</v>
      </c>
      <c r="AW14" s="15">
        <v>87.74</v>
      </c>
      <c r="AX14" s="15">
        <v>4.7300000000000004</v>
      </c>
      <c r="AY14" s="15">
        <v>14.67</v>
      </c>
      <c r="AZ14" s="14">
        <v>84.76</v>
      </c>
      <c r="BA14" s="14">
        <v>14.754098360655737</v>
      </c>
      <c r="BB14" s="15">
        <v>60161</v>
      </c>
      <c r="BC14" s="15">
        <v>705</v>
      </c>
      <c r="BD14" s="15">
        <v>971</v>
      </c>
      <c r="BE14" s="15">
        <v>130</v>
      </c>
      <c r="BF14" s="15">
        <v>1903</v>
      </c>
      <c r="BG14" s="15">
        <v>1798</v>
      </c>
      <c r="BH14" s="15">
        <v>102</v>
      </c>
      <c r="BI14" s="15">
        <v>52</v>
      </c>
      <c r="BJ14" s="15">
        <v>3318</v>
      </c>
      <c r="BK14" s="15">
        <v>204</v>
      </c>
      <c r="BL14" s="15">
        <v>3109</v>
      </c>
      <c r="BM14" s="15">
        <v>307</v>
      </c>
      <c r="BN14" s="15">
        <v>1378</v>
      </c>
      <c r="BO14" s="15">
        <v>1209</v>
      </c>
      <c r="BP14" s="15">
        <v>165</v>
      </c>
      <c r="BQ14" s="15">
        <v>2782</v>
      </c>
      <c r="BR14" s="15">
        <v>2358</v>
      </c>
      <c r="BS14" s="15">
        <v>408</v>
      </c>
      <c r="BT14" s="15">
        <v>16</v>
      </c>
      <c r="BU14" s="15">
        <v>870</v>
      </c>
      <c r="BV14" s="17">
        <v>106</v>
      </c>
      <c r="BW14" s="17">
        <v>143</v>
      </c>
      <c r="BX14" s="17">
        <v>101</v>
      </c>
      <c r="BY14" s="17"/>
      <c r="BZ14" s="17"/>
      <c r="CA14" s="17"/>
      <c r="CB14" s="17"/>
      <c r="CC14" s="1">
        <v>18</v>
      </c>
      <c r="CD14" s="1">
        <v>27</v>
      </c>
      <c r="CE14" s="74">
        <v>51.886792452830186</v>
      </c>
      <c r="CF14" s="1">
        <v>24</v>
      </c>
      <c r="CG14" s="1">
        <v>18</v>
      </c>
      <c r="CH14" s="17"/>
      <c r="CI14" s="17"/>
      <c r="CJ14" s="17"/>
      <c r="CK14" s="74">
        <v>21.69811320754717</v>
      </c>
      <c r="CL14" s="1">
        <v>84</v>
      </c>
      <c r="CM14" s="1">
        <v>33</v>
      </c>
      <c r="CN14" s="17"/>
      <c r="CO14" s="17"/>
      <c r="CP14" s="17"/>
      <c r="CQ14" s="74">
        <v>6.6037735849056602</v>
      </c>
      <c r="CR14" s="1">
        <v>9</v>
      </c>
      <c r="CS14" s="1">
        <v>7</v>
      </c>
      <c r="CT14" s="74">
        <v>19.811320754716981</v>
      </c>
      <c r="CU14" s="1">
        <v>8</v>
      </c>
      <c r="CV14" s="1">
        <v>16</v>
      </c>
    </row>
    <row r="15" spans="1:100" s="13" customFormat="1" x14ac:dyDescent="0.3">
      <c r="A15" s="12">
        <v>12</v>
      </c>
      <c r="B15" s="12" t="s">
        <v>150</v>
      </c>
      <c r="C15" s="12" t="s">
        <v>92</v>
      </c>
      <c r="D15" s="12">
        <v>2</v>
      </c>
      <c r="E15" s="130">
        <v>45621</v>
      </c>
      <c r="F15" s="12">
        <v>3</v>
      </c>
      <c r="G15" s="12">
        <v>1</v>
      </c>
      <c r="H15" s="14">
        <v>4.62</v>
      </c>
      <c r="I15" s="12">
        <v>0</v>
      </c>
      <c r="J15" s="12">
        <v>1</v>
      </c>
      <c r="K15" s="12">
        <v>0</v>
      </c>
      <c r="L15" s="12">
        <v>100000</v>
      </c>
      <c r="M15" s="12">
        <v>7.5</v>
      </c>
      <c r="N15" s="15">
        <f t="shared" si="2"/>
        <v>13333.333333333334</v>
      </c>
      <c r="O15" s="12">
        <v>100000</v>
      </c>
      <c r="P15" s="12">
        <v>7.2</v>
      </c>
      <c r="Q15" s="15">
        <f t="shared" si="3"/>
        <v>13888.888888888889</v>
      </c>
      <c r="R15" s="12">
        <v>100000</v>
      </c>
      <c r="S15" s="12">
        <v>4.8</v>
      </c>
      <c r="T15" s="15">
        <f t="shared" si="4"/>
        <v>20833.333333333336</v>
      </c>
      <c r="U15" s="15">
        <v>3.9152542372881358</v>
      </c>
      <c r="V15" s="15">
        <v>17682.189999999999</v>
      </c>
      <c r="W15" s="15">
        <v>17369.13</v>
      </c>
      <c r="X15" s="14">
        <v>0.17</v>
      </c>
      <c r="Y15" s="14">
        <v>7.0000000000000007E-2</v>
      </c>
      <c r="Z15" s="14">
        <v>0.42</v>
      </c>
      <c r="AA15" s="15">
        <v>28.8135593220339</v>
      </c>
      <c r="AB15" s="15">
        <v>5.6000000000000005</v>
      </c>
      <c r="AC15" s="15">
        <v>16.40625</v>
      </c>
      <c r="AD15" s="14">
        <v>0.24</v>
      </c>
      <c r="AE15" s="14">
        <v>0.59</v>
      </c>
      <c r="AF15" s="14">
        <v>1.25</v>
      </c>
      <c r="AG15" s="14">
        <v>2.56</v>
      </c>
      <c r="AH15" s="14">
        <f t="shared" si="5"/>
        <v>2560</v>
      </c>
      <c r="AI15" s="15">
        <v>8.84</v>
      </c>
      <c r="AJ15" s="15">
        <v>91.07</v>
      </c>
      <c r="AK15" s="15">
        <v>7.78</v>
      </c>
      <c r="AL15" s="15">
        <v>92.09</v>
      </c>
      <c r="AM15" s="15">
        <f t="shared" si="0"/>
        <v>199.16800000000001</v>
      </c>
      <c r="AN15" s="15">
        <f t="shared" si="1"/>
        <v>2357.5039999999999</v>
      </c>
      <c r="AO15" s="14">
        <v>8.8479631668501657</v>
      </c>
      <c r="AP15" s="14">
        <v>7.7901271653149102</v>
      </c>
      <c r="AQ15" s="14"/>
      <c r="AR15" s="14">
        <f t="shared" si="6"/>
        <v>0.72246913552674252</v>
      </c>
      <c r="AS15" s="14">
        <v>0.59</v>
      </c>
      <c r="AT15" s="14">
        <v>1.1499999999999999</v>
      </c>
      <c r="AU15" s="14">
        <v>2.2000000000000002</v>
      </c>
      <c r="AV15" s="15">
        <v>16.649999999999999</v>
      </c>
      <c r="AW15" s="15">
        <v>83.16</v>
      </c>
      <c r="AX15" s="15">
        <v>2.2000000000000002</v>
      </c>
      <c r="AY15" s="15">
        <v>20.38</v>
      </c>
      <c r="AZ15" s="14">
        <v>79.319999999999993</v>
      </c>
      <c r="BA15" s="14">
        <v>20.441323971915747</v>
      </c>
      <c r="BB15" s="15">
        <v>95235</v>
      </c>
      <c r="BC15" s="15">
        <v>232</v>
      </c>
      <c r="BD15" s="15">
        <v>521</v>
      </c>
      <c r="BE15" s="15">
        <v>155</v>
      </c>
      <c r="BF15" s="15">
        <v>1165</v>
      </c>
      <c r="BG15" s="15">
        <v>1061</v>
      </c>
      <c r="BH15" s="15">
        <v>103</v>
      </c>
      <c r="BI15" s="15">
        <v>64</v>
      </c>
      <c r="BJ15" s="15">
        <v>2338</v>
      </c>
      <c r="BK15" s="15">
        <v>182</v>
      </c>
      <c r="BL15" s="15">
        <v>2153</v>
      </c>
      <c r="BM15" s="15">
        <v>384</v>
      </c>
      <c r="BN15" s="15">
        <v>1063</v>
      </c>
      <c r="BO15" s="15">
        <v>884</v>
      </c>
      <c r="BP15" s="15">
        <v>177</v>
      </c>
      <c r="BQ15" s="15">
        <v>1963</v>
      </c>
      <c r="BR15" s="15">
        <v>1557</v>
      </c>
      <c r="BS15" s="15">
        <v>400</v>
      </c>
      <c r="BT15" s="15">
        <v>43</v>
      </c>
      <c r="BU15" s="15">
        <v>930</v>
      </c>
      <c r="BV15" s="17">
        <v>123</v>
      </c>
      <c r="BW15" s="17">
        <v>101</v>
      </c>
      <c r="BX15" s="17">
        <v>109</v>
      </c>
      <c r="BY15" s="17"/>
      <c r="BZ15" s="17"/>
      <c r="CA15" s="17"/>
      <c r="CB15" s="17"/>
      <c r="CC15" s="1">
        <v>3</v>
      </c>
      <c r="CD15" s="1">
        <v>18</v>
      </c>
      <c r="CE15" s="74">
        <v>32.520325203252028</v>
      </c>
      <c r="CF15" s="1">
        <v>8</v>
      </c>
      <c r="CG15" s="1">
        <v>9</v>
      </c>
      <c r="CH15" s="17"/>
      <c r="CI15" s="17"/>
      <c r="CJ15" s="17"/>
      <c r="CK15" s="74">
        <v>28.455284552845526</v>
      </c>
      <c r="CL15" s="1">
        <v>51</v>
      </c>
      <c r="CM15" s="1">
        <v>44</v>
      </c>
      <c r="CN15" s="17"/>
      <c r="CO15" s="17"/>
      <c r="CP15" s="17"/>
      <c r="CQ15" s="74">
        <v>12.195121951219512</v>
      </c>
      <c r="CR15" s="1">
        <v>26</v>
      </c>
      <c r="CS15" s="1">
        <v>15</v>
      </c>
      <c r="CT15" s="74">
        <v>26.829268292682929</v>
      </c>
      <c r="CU15" s="1">
        <v>13</v>
      </c>
      <c r="CV15" s="1">
        <v>24</v>
      </c>
    </row>
    <row r="16" spans="1:100" s="13" customFormat="1" x14ac:dyDescent="0.3">
      <c r="A16" s="12">
        <v>13</v>
      </c>
      <c r="B16" s="12" t="s">
        <v>150</v>
      </c>
      <c r="C16" s="12" t="s">
        <v>92</v>
      </c>
      <c r="D16" s="12">
        <v>2</v>
      </c>
      <c r="E16" s="130">
        <v>45621</v>
      </c>
      <c r="F16" s="12">
        <v>3</v>
      </c>
      <c r="G16" s="12">
        <v>0</v>
      </c>
      <c r="H16" s="14">
        <v>1.44</v>
      </c>
      <c r="I16" s="12">
        <v>0</v>
      </c>
      <c r="J16" s="12">
        <v>1</v>
      </c>
      <c r="K16" s="12">
        <v>0</v>
      </c>
      <c r="L16" s="12">
        <v>100000</v>
      </c>
      <c r="M16" s="12">
        <v>7.4</v>
      </c>
      <c r="N16" s="15">
        <f t="shared" si="2"/>
        <v>13513.513513513513</v>
      </c>
      <c r="O16" s="12">
        <v>100000</v>
      </c>
      <c r="P16" s="12">
        <v>8.1999999999999993</v>
      </c>
      <c r="Q16" s="15">
        <f t="shared" si="3"/>
        <v>12195.121951219513</v>
      </c>
      <c r="R16" s="12">
        <v>100000</v>
      </c>
      <c r="S16" s="12">
        <v>6</v>
      </c>
      <c r="T16" s="15">
        <f t="shared" si="4"/>
        <v>16666.666666666668</v>
      </c>
      <c r="U16" s="15">
        <v>3.9852941176470584</v>
      </c>
      <c r="V16" s="15">
        <v>15119.22</v>
      </c>
      <c r="W16" s="15">
        <v>16178.82</v>
      </c>
      <c r="X16" s="14">
        <v>0.14000000000000001</v>
      </c>
      <c r="Y16" s="14">
        <v>7.0000000000000007E-2</v>
      </c>
      <c r="Z16" s="14">
        <v>0.47</v>
      </c>
      <c r="AA16" s="15">
        <v>20.588235294117649</v>
      </c>
      <c r="AB16" s="15">
        <v>4.7619047619047628</v>
      </c>
      <c r="AC16" s="15">
        <v>15.259740259740258</v>
      </c>
      <c r="AD16" s="14">
        <v>0.18</v>
      </c>
      <c r="AE16" s="14">
        <v>0.68</v>
      </c>
      <c r="AF16" s="14">
        <v>1.47</v>
      </c>
      <c r="AG16" s="14">
        <v>3.08</v>
      </c>
      <c r="AH16" s="14">
        <f t="shared" si="5"/>
        <v>3080</v>
      </c>
      <c r="AI16" s="15">
        <v>7.58</v>
      </c>
      <c r="AJ16" s="15">
        <v>92.05</v>
      </c>
      <c r="AK16" s="15">
        <v>7.14</v>
      </c>
      <c r="AL16" s="15">
        <v>92.53</v>
      </c>
      <c r="AM16" s="15">
        <f t="shared" si="0"/>
        <v>219.91199999999998</v>
      </c>
      <c r="AN16" s="15">
        <f t="shared" si="1"/>
        <v>2849.924</v>
      </c>
      <c r="AO16" s="14">
        <v>7.6081501555756299</v>
      </c>
      <c r="AP16" s="14">
        <v>7.163640012039731</v>
      </c>
      <c r="AQ16" s="14"/>
      <c r="AR16" s="14">
        <f t="shared" si="6"/>
        <v>0.6643676921946513</v>
      </c>
      <c r="AS16" s="14">
        <v>0.68</v>
      </c>
      <c r="AT16" s="14">
        <v>1.32</v>
      </c>
      <c r="AU16" s="14">
        <v>2.66</v>
      </c>
      <c r="AV16" s="15">
        <v>20.8</v>
      </c>
      <c r="AW16" s="15">
        <v>79.11</v>
      </c>
      <c r="AX16" s="15">
        <v>2.66</v>
      </c>
      <c r="AY16" s="15">
        <v>16.2</v>
      </c>
      <c r="AZ16" s="14">
        <v>83.71</v>
      </c>
      <c r="BA16" s="14">
        <v>16.214593133820436</v>
      </c>
      <c r="BB16" s="15">
        <v>91005</v>
      </c>
      <c r="BC16" s="15">
        <v>160</v>
      </c>
      <c r="BD16" s="15">
        <v>636</v>
      </c>
      <c r="BE16" s="15">
        <v>135</v>
      </c>
      <c r="BF16" s="15">
        <v>1320</v>
      </c>
      <c r="BG16" s="15">
        <v>1215</v>
      </c>
      <c r="BH16" s="15">
        <v>100</v>
      </c>
      <c r="BI16" s="15">
        <v>63</v>
      </c>
      <c r="BJ16" s="15">
        <v>2744</v>
      </c>
      <c r="BK16" s="15">
        <v>196</v>
      </c>
      <c r="BL16" s="15">
        <v>2539</v>
      </c>
      <c r="BM16" s="15">
        <v>420</v>
      </c>
      <c r="BN16" s="15">
        <v>1173</v>
      </c>
      <c r="BO16" s="15">
        <v>928</v>
      </c>
      <c r="BP16" s="15">
        <v>244</v>
      </c>
      <c r="BQ16" s="15">
        <v>2302</v>
      </c>
      <c r="BR16" s="15">
        <v>1927</v>
      </c>
      <c r="BS16" s="15">
        <v>373</v>
      </c>
      <c r="BT16" s="15">
        <v>17</v>
      </c>
      <c r="BU16" s="15">
        <v>1178</v>
      </c>
      <c r="BV16" s="17">
        <v>110</v>
      </c>
      <c r="BW16" s="17">
        <v>100</v>
      </c>
      <c r="BX16" s="17">
        <v>103</v>
      </c>
      <c r="BY16" s="17"/>
      <c r="BZ16" s="17"/>
      <c r="CA16" s="17"/>
      <c r="CB16" s="17"/>
      <c r="CC16" s="1">
        <v>5</v>
      </c>
      <c r="CD16" s="1">
        <v>17</v>
      </c>
      <c r="CE16" s="74">
        <v>30</v>
      </c>
      <c r="CF16" s="1">
        <v>8</v>
      </c>
      <c r="CG16" s="1">
        <v>14</v>
      </c>
      <c r="CH16" s="17"/>
      <c r="CI16" s="17"/>
      <c r="CJ16" s="17"/>
      <c r="CK16" s="74">
        <v>20</v>
      </c>
      <c r="CL16" s="1">
        <v>60</v>
      </c>
      <c r="CM16" s="1">
        <v>50</v>
      </c>
      <c r="CN16" s="17"/>
      <c r="CO16" s="17"/>
      <c r="CP16" s="17"/>
      <c r="CQ16" s="74">
        <v>16.363636363636363</v>
      </c>
      <c r="CR16" s="1">
        <v>22</v>
      </c>
      <c r="CS16" s="1">
        <v>9</v>
      </c>
      <c r="CT16" s="74">
        <v>33.636363636363633</v>
      </c>
      <c r="CU16" s="1">
        <v>5</v>
      </c>
      <c r="CV16" s="1">
        <v>13</v>
      </c>
    </row>
    <row r="17" spans="1:100" s="21" customFormat="1" x14ac:dyDescent="0.3">
      <c r="A17" s="18">
        <v>14</v>
      </c>
      <c r="B17" s="18" t="s">
        <v>515</v>
      </c>
      <c r="C17" s="18" t="s">
        <v>88</v>
      </c>
      <c r="D17" s="18">
        <v>3</v>
      </c>
      <c r="E17" s="129">
        <v>45635</v>
      </c>
      <c r="F17" s="18">
        <v>0</v>
      </c>
      <c r="G17" s="18">
        <v>0</v>
      </c>
      <c r="H17" s="19">
        <v>0.37</v>
      </c>
      <c r="I17" s="18">
        <v>1</v>
      </c>
      <c r="J17" s="18">
        <v>2</v>
      </c>
      <c r="K17" s="18">
        <v>0</v>
      </c>
      <c r="L17" s="18">
        <v>100000</v>
      </c>
      <c r="M17" s="18">
        <v>2.5</v>
      </c>
      <c r="N17" s="20">
        <f>(L17)/(M17)</f>
        <v>40000</v>
      </c>
      <c r="O17" s="18">
        <v>100000</v>
      </c>
      <c r="P17" s="18">
        <v>2.2999999999999998</v>
      </c>
      <c r="Q17" s="20">
        <f>(O17)/(P17)</f>
        <v>43478.260869565223</v>
      </c>
      <c r="R17" s="18">
        <v>100000</v>
      </c>
      <c r="S17" s="18">
        <v>3.7</v>
      </c>
      <c r="T17" s="20">
        <f>(R17)/(S17)</f>
        <v>27027.027027027027</v>
      </c>
      <c r="U17" s="20">
        <v>6</v>
      </c>
      <c r="V17" s="20">
        <v>9986.3700000000008</v>
      </c>
      <c r="W17" s="20">
        <v>11830.04</v>
      </c>
      <c r="X17" s="19">
        <v>0.06</v>
      </c>
      <c r="Y17" s="18">
        <v>0.05</v>
      </c>
      <c r="Z17" s="19">
        <v>0.63</v>
      </c>
      <c r="AA17" s="20">
        <v>11.320754716981131</v>
      </c>
      <c r="AB17" s="20">
        <v>2.0242914979757085</v>
      </c>
      <c r="AC17" s="20">
        <v>19.811320754716981</v>
      </c>
      <c r="AD17" s="19">
        <v>0.32</v>
      </c>
      <c r="AE17" s="19">
        <v>0.53</v>
      </c>
      <c r="AF17" s="19">
        <v>2.4700000000000002</v>
      </c>
      <c r="AG17" s="19">
        <v>3.18</v>
      </c>
      <c r="AH17" s="19">
        <f>(AG17/100)*100000</f>
        <v>3180</v>
      </c>
      <c r="AI17" s="20">
        <v>5.21</v>
      </c>
      <c r="AJ17" s="20">
        <v>94.79</v>
      </c>
      <c r="AK17" s="20">
        <v>9.01</v>
      </c>
      <c r="AL17" s="20">
        <v>90.64</v>
      </c>
      <c r="AM17" s="20">
        <f>(AK17/100)*(AH17)</f>
        <v>286.51799999999997</v>
      </c>
      <c r="AN17" s="20">
        <f>(AL17/100)*(AH17)</f>
        <v>2882.3519999999999</v>
      </c>
      <c r="AO17" s="19">
        <v>5.21</v>
      </c>
      <c r="AP17" s="19">
        <v>9.0416457601605611</v>
      </c>
      <c r="AQ17" s="19"/>
      <c r="AR17" s="19"/>
      <c r="AS17" s="19">
        <v>0.53</v>
      </c>
      <c r="AT17" s="19">
        <v>1.69</v>
      </c>
      <c r="AU17" s="19">
        <v>2.15</v>
      </c>
      <c r="AV17" s="20">
        <v>24.44</v>
      </c>
      <c r="AW17" s="20">
        <v>75.37</v>
      </c>
      <c r="AX17" s="20">
        <v>34.450000000000003</v>
      </c>
      <c r="AY17" s="20">
        <v>65</v>
      </c>
      <c r="AZ17" s="19">
        <v>24.486524396353072</v>
      </c>
      <c r="BA17" s="19">
        <v>34.640522875816998</v>
      </c>
      <c r="BB17" s="20">
        <v>89881</v>
      </c>
      <c r="BC17" s="20">
        <v>283</v>
      </c>
      <c r="BD17" s="20">
        <v>476</v>
      </c>
      <c r="BE17" s="20">
        <v>54</v>
      </c>
      <c r="BF17" s="20">
        <v>2225</v>
      </c>
      <c r="BG17" s="20">
        <v>2109</v>
      </c>
      <c r="BH17" s="20">
        <v>116</v>
      </c>
      <c r="BI17" s="20">
        <v>47</v>
      </c>
      <c r="BJ17" s="20">
        <v>2886</v>
      </c>
      <c r="BK17" s="20">
        <v>2616</v>
      </c>
      <c r="BL17" s="20">
        <v>260</v>
      </c>
      <c r="BM17" s="20">
        <v>570</v>
      </c>
      <c r="BN17" s="20">
        <v>1571</v>
      </c>
      <c r="BO17" s="20">
        <v>1184</v>
      </c>
      <c r="BP17" s="20">
        <v>384</v>
      </c>
      <c r="BQ17" s="20">
        <v>2000</v>
      </c>
      <c r="BR17" s="20">
        <v>1300</v>
      </c>
      <c r="BS17" s="20">
        <v>689</v>
      </c>
      <c r="BT17" s="20">
        <v>5</v>
      </c>
      <c r="BU17" s="20">
        <v>1338</v>
      </c>
      <c r="BV17" s="82"/>
      <c r="BW17" s="82"/>
      <c r="BX17" s="82"/>
      <c r="BY17" s="82"/>
      <c r="BZ17" s="82"/>
      <c r="CA17" s="82"/>
      <c r="CB17" s="82"/>
      <c r="CC17" s="82"/>
      <c r="CD17" s="82"/>
      <c r="CE17" s="82"/>
      <c r="CF17" s="82"/>
      <c r="CG17" s="82"/>
      <c r="CH17" s="82"/>
      <c r="CI17" s="82"/>
      <c r="CJ17" s="82"/>
      <c r="CK17" s="82"/>
      <c r="CL17" s="82"/>
      <c r="CM17" s="82"/>
      <c r="CN17" s="82"/>
      <c r="CO17" s="82"/>
      <c r="CP17" s="82"/>
      <c r="CQ17" s="82"/>
      <c r="CR17" s="82"/>
      <c r="CS17" s="82"/>
      <c r="CT17" s="82"/>
      <c r="CU17" s="82"/>
      <c r="CV17" s="82"/>
    </row>
    <row r="18" spans="1:100" s="13" customFormat="1" x14ac:dyDescent="0.3">
      <c r="A18" s="12">
        <v>15</v>
      </c>
      <c r="B18" s="12" t="s">
        <v>147</v>
      </c>
      <c r="C18" s="12" t="s">
        <v>92</v>
      </c>
      <c r="D18" s="12">
        <v>3</v>
      </c>
      <c r="E18" s="130">
        <v>45635</v>
      </c>
      <c r="F18" s="12">
        <v>0</v>
      </c>
      <c r="G18" s="12">
        <v>4</v>
      </c>
      <c r="H18" s="14">
        <v>1.47</v>
      </c>
      <c r="I18" s="12">
        <v>1</v>
      </c>
      <c r="J18" s="12">
        <v>0</v>
      </c>
      <c r="K18" s="12">
        <v>0</v>
      </c>
      <c r="L18" s="12">
        <v>100000</v>
      </c>
      <c r="M18" s="12">
        <v>3.7</v>
      </c>
      <c r="N18" s="15">
        <f t="shared" si="2"/>
        <v>27027.027027027027</v>
      </c>
      <c r="O18" s="12">
        <v>100000</v>
      </c>
      <c r="P18" s="12">
        <v>2.5</v>
      </c>
      <c r="Q18" s="15">
        <f t="shared" si="3"/>
        <v>40000</v>
      </c>
      <c r="R18" s="12">
        <v>100000</v>
      </c>
      <c r="S18" s="12">
        <v>4.5999999999999996</v>
      </c>
      <c r="T18" s="15">
        <f t="shared" si="4"/>
        <v>21739.130434782612</v>
      </c>
      <c r="U18" s="15">
        <v>5.6301369863013706</v>
      </c>
      <c r="V18" s="15">
        <v>8885.82</v>
      </c>
      <c r="W18" s="15">
        <v>12132.97</v>
      </c>
      <c r="X18" s="14">
        <v>0.06</v>
      </c>
      <c r="Y18" s="12">
        <v>0</v>
      </c>
      <c r="Z18" s="14">
        <v>0.86</v>
      </c>
      <c r="AA18" s="15">
        <v>8.2191780821917799</v>
      </c>
      <c r="AB18" s="15">
        <v>0</v>
      </c>
      <c r="AC18" s="15">
        <v>20.924574209245741</v>
      </c>
      <c r="AD18" s="14">
        <v>0.39</v>
      </c>
      <c r="AE18" s="14">
        <v>0.73</v>
      </c>
      <c r="AF18" s="14">
        <v>3.37</v>
      </c>
      <c r="AG18" s="14">
        <v>4.1100000000000003</v>
      </c>
      <c r="AH18" s="14">
        <f t="shared" si="5"/>
        <v>4110.0000000000009</v>
      </c>
      <c r="AI18" s="15">
        <v>7.58</v>
      </c>
      <c r="AJ18" s="15">
        <v>92.38</v>
      </c>
      <c r="AK18" s="15">
        <v>14.13</v>
      </c>
      <c r="AL18" s="15">
        <v>85.46</v>
      </c>
      <c r="AM18" s="15">
        <f t="shared" si="0"/>
        <v>580.74300000000017</v>
      </c>
      <c r="AN18" s="15">
        <f t="shared" si="1"/>
        <v>3512.4060000000004</v>
      </c>
      <c r="AO18" s="14">
        <v>7.5830332132853142</v>
      </c>
      <c r="AP18" s="14">
        <v>14.188171503162971</v>
      </c>
      <c r="AQ18" s="14"/>
      <c r="AR18" s="14"/>
      <c r="AS18" s="14">
        <v>0.73</v>
      </c>
      <c r="AT18" s="14">
        <v>2.57</v>
      </c>
      <c r="AU18" s="14">
        <v>3.64</v>
      </c>
      <c r="AV18" s="15">
        <v>28.74</v>
      </c>
      <c r="AW18" s="15">
        <v>70.73</v>
      </c>
      <c r="AX18" s="15">
        <v>37.1</v>
      </c>
      <c r="AY18" s="15">
        <v>62.66</v>
      </c>
      <c r="AZ18" s="14">
        <v>28.893133608123051</v>
      </c>
      <c r="BA18" s="14">
        <v>37.189254210104252</v>
      </c>
      <c r="BB18" s="15">
        <v>89653</v>
      </c>
      <c r="BC18" s="15">
        <v>345</v>
      </c>
      <c r="BD18" s="15">
        <v>645</v>
      </c>
      <c r="BE18" s="15">
        <v>49</v>
      </c>
      <c r="BF18" s="15">
        <v>2941</v>
      </c>
      <c r="BG18" s="15">
        <v>2717</v>
      </c>
      <c r="BH18" s="15">
        <v>223</v>
      </c>
      <c r="BI18" s="15">
        <v>0</v>
      </c>
      <c r="BJ18" s="15">
        <v>3644</v>
      </c>
      <c r="BK18" s="15">
        <v>3114</v>
      </c>
      <c r="BL18" s="15">
        <v>515</v>
      </c>
      <c r="BM18" s="15">
        <v>761</v>
      </c>
      <c r="BN18" s="15">
        <v>2279</v>
      </c>
      <c r="BO18" s="15">
        <v>1612</v>
      </c>
      <c r="BP18" s="15">
        <v>655</v>
      </c>
      <c r="BQ18" s="15">
        <v>3251</v>
      </c>
      <c r="BR18" s="15">
        <v>2037</v>
      </c>
      <c r="BS18" s="15">
        <v>1206</v>
      </c>
      <c r="BT18" s="15">
        <v>13</v>
      </c>
      <c r="BU18" s="15">
        <v>885</v>
      </c>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row>
    <row r="19" spans="1:100" s="13" customFormat="1" x14ac:dyDescent="0.3">
      <c r="A19" s="12">
        <v>16</v>
      </c>
      <c r="B19" s="12" t="s">
        <v>147</v>
      </c>
      <c r="C19" s="12" t="s">
        <v>92</v>
      </c>
      <c r="D19" s="12">
        <v>3</v>
      </c>
      <c r="E19" s="130">
        <v>45635</v>
      </c>
      <c r="F19" s="12">
        <v>0</v>
      </c>
      <c r="G19" s="12">
        <v>3</v>
      </c>
      <c r="H19" s="14">
        <v>1.52</v>
      </c>
      <c r="I19" s="12">
        <v>0</v>
      </c>
      <c r="J19" s="12">
        <v>0</v>
      </c>
      <c r="K19" s="12">
        <v>0</v>
      </c>
      <c r="L19" s="12">
        <v>100000</v>
      </c>
      <c r="M19" s="12">
        <v>10.8</v>
      </c>
      <c r="N19" s="15">
        <f t="shared" si="2"/>
        <v>9259.2592592592591</v>
      </c>
      <c r="O19" s="12">
        <v>100000</v>
      </c>
      <c r="P19" s="12">
        <v>9.3000000000000007</v>
      </c>
      <c r="Q19" s="15">
        <f t="shared" si="3"/>
        <v>10752.68817204301</v>
      </c>
      <c r="R19" s="12">
        <v>100000</v>
      </c>
      <c r="S19" s="12">
        <v>13.5</v>
      </c>
      <c r="T19" s="15">
        <f t="shared" si="4"/>
        <v>7407.4074074074078</v>
      </c>
      <c r="U19" s="15">
        <v>3.3455497382198951</v>
      </c>
      <c r="V19" s="15">
        <v>12335.99</v>
      </c>
      <c r="W19" s="15">
        <v>17197.04</v>
      </c>
      <c r="X19" s="14">
        <v>0.42</v>
      </c>
      <c r="Y19" s="12">
        <v>0.1</v>
      </c>
      <c r="Z19" s="14">
        <v>2.2799999999999998</v>
      </c>
      <c r="AA19" s="15">
        <v>21.98952879581152</v>
      </c>
      <c r="AB19" s="15">
        <v>1.680672268907563</v>
      </c>
      <c r="AC19" s="15">
        <v>35.68075117370892</v>
      </c>
      <c r="AD19" s="14">
        <v>0.94</v>
      </c>
      <c r="AE19" s="14">
        <v>1.91</v>
      </c>
      <c r="AF19" s="14">
        <v>5.95</v>
      </c>
      <c r="AG19" s="14">
        <v>6.39</v>
      </c>
      <c r="AH19" s="14">
        <f t="shared" si="5"/>
        <v>6390</v>
      </c>
      <c r="AI19" s="15">
        <v>6.5</v>
      </c>
      <c r="AJ19" s="15">
        <v>93.37</v>
      </c>
      <c r="AK19" s="15">
        <v>10.76</v>
      </c>
      <c r="AL19" s="15">
        <v>89.03</v>
      </c>
      <c r="AM19" s="15">
        <f t="shared" si="0"/>
        <v>687.56399999999996</v>
      </c>
      <c r="AN19" s="15">
        <f t="shared" si="1"/>
        <v>5689.0169999999998</v>
      </c>
      <c r="AO19" s="14">
        <v>6.5084609992990883</v>
      </c>
      <c r="AP19" s="14">
        <v>10.782643551458062</v>
      </c>
      <c r="AQ19" s="14"/>
      <c r="AR19" s="14"/>
      <c r="AS19" s="14">
        <v>1.91</v>
      </c>
      <c r="AT19" s="14">
        <v>4.34</v>
      </c>
      <c r="AU19" s="14">
        <v>7.02</v>
      </c>
      <c r="AV19" s="15">
        <v>30.04</v>
      </c>
      <c r="AW19" s="15">
        <v>69.86</v>
      </c>
      <c r="AX19" s="15">
        <v>35.479999999999997</v>
      </c>
      <c r="AY19" s="15">
        <v>64.44</v>
      </c>
      <c r="AZ19" s="14">
        <v>30.070070070070066</v>
      </c>
      <c r="BA19" s="14">
        <v>35.508406725380304</v>
      </c>
      <c r="BB19" s="15">
        <v>92140</v>
      </c>
      <c r="BC19" s="15">
        <v>861</v>
      </c>
      <c r="BD19" s="15">
        <v>1778</v>
      </c>
      <c r="BE19" s="15">
        <v>392</v>
      </c>
      <c r="BF19" s="15">
        <v>5552</v>
      </c>
      <c r="BG19" s="15">
        <v>5184</v>
      </c>
      <c r="BH19" s="15">
        <v>361</v>
      </c>
      <c r="BI19" s="15">
        <v>91</v>
      </c>
      <c r="BJ19" s="15">
        <v>5987</v>
      </c>
      <c r="BK19" s="15">
        <v>5330</v>
      </c>
      <c r="BL19" s="15">
        <v>644</v>
      </c>
      <c r="BM19" s="15">
        <v>2137</v>
      </c>
      <c r="BN19" s="15">
        <v>4081</v>
      </c>
      <c r="BO19" s="15">
        <v>2851</v>
      </c>
      <c r="BP19" s="15">
        <v>1226</v>
      </c>
      <c r="BQ19" s="15">
        <v>6434</v>
      </c>
      <c r="BR19" s="15">
        <v>4146</v>
      </c>
      <c r="BS19" s="15">
        <v>2283</v>
      </c>
      <c r="BT19" s="15">
        <v>8</v>
      </c>
      <c r="BU19" s="15">
        <v>528</v>
      </c>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row>
    <row r="20" spans="1:100" s="13" customFormat="1" x14ac:dyDescent="0.3">
      <c r="A20" s="12">
        <v>17</v>
      </c>
      <c r="B20" s="12" t="s">
        <v>147</v>
      </c>
      <c r="C20" s="12" t="s">
        <v>92</v>
      </c>
      <c r="D20" s="12">
        <v>3</v>
      </c>
      <c r="E20" s="130">
        <v>45635</v>
      </c>
      <c r="F20" s="12">
        <v>0</v>
      </c>
      <c r="G20" s="12">
        <v>3</v>
      </c>
      <c r="H20" s="14">
        <v>1.42</v>
      </c>
      <c r="I20" s="12">
        <v>1</v>
      </c>
      <c r="J20" s="12">
        <v>0</v>
      </c>
      <c r="K20" s="12">
        <v>1</v>
      </c>
      <c r="L20" s="12"/>
      <c r="M20" s="12"/>
      <c r="N20" s="15"/>
      <c r="O20" s="12">
        <v>100000</v>
      </c>
      <c r="P20" s="12">
        <v>10</v>
      </c>
      <c r="Q20" s="15">
        <f t="shared" si="3"/>
        <v>10000</v>
      </c>
      <c r="R20" s="12">
        <v>100000</v>
      </c>
      <c r="S20" s="12">
        <v>11.1</v>
      </c>
      <c r="T20" s="15">
        <f t="shared" si="4"/>
        <v>9009.0090090090089</v>
      </c>
      <c r="U20" s="16"/>
      <c r="V20" s="15"/>
      <c r="W20" s="15">
        <v>12071.72</v>
      </c>
      <c r="X20" s="14">
        <v>0.56000000000000005</v>
      </c>
      <c r="Y20" s="12">
        <v>0.03</v>
      </c>
      <c r="Z20" s="14">
        <v>0.47</v>
      </c>
      <c r="AA20" s="15">
        <v>45.161290322580648</v>
      </c>
      <c r="AB20" s="15">
        <v>1.6574585635359116</v>
      </c>
      <c r="AC20" s="15">
        <v>18.725099601593627</v>
      </c>
      <c r="AD20" s="14">
        <v>0.45</v>
      </c>
      <c r="AE20" s="14">
        <v>1.24</v>
      </c>
      <c r="AF20" s="14">
        <v>1.81</v>
      </c>
      <c r="AG20" s="14">
        <v>2.5099999999999998</v>
      </c>
      <c r="AH20" s="14">
        <f t="shared" si="5"/>
        <v>2509.9999999999995</v>
      </c>
      <c r="AI20" s="15">
        <v>6.91</v>
      </c>
      <c r="AJ20" s="15">
        <v>93.03</v>
      </c>
      <c r="AK20" s="15">
        <v>9.32</v>
      </c>
      <c r="AL20" s="15">
        <v>90.47</v>
      </c>
      <c r="AM20" s="15">
        <f t="shared" si="0"/>
        <v>233.93199999999996</v>
      </c>
      <c r="AN20" s="15">
        <f t="shared" si="1"/>
        <v>2270.7969999999996</v>
      </c>
      <c r="AO20" s="14">
        <v>6.9141484890934564</v>
      </c>
      <c r="AP20" s="14">
        <v>9.3396131876941588</v>
      </c>
      <c r="AQ20" s="14"/>
      <c r="AR20" s="14"/>
      <c r="AS20" s="14">
        <v>1.24</v>
      </c>
      <c r="AT20" s="14">
        <v>2.57</v>
      </c>
      <c r="AU20" s="14">
        <v>3.05</v>
      </c>
      <c r="AV20" s="15">
        <v>24.01</v>
      </c>
      <c r="AW20" s="15">
        <v>75.86</v>
      </c>
      <c r="AX20" s="15">
        <v>36.24</v>
      </c>
      <c r="AY20" s="15">
        <v>63.55</v>
      </c>
      <c r="AZ20" s="14">
        <v>24.041253629718636</v>
      </c>
      <c r="BA20" s="14">
        <v>36.316264154724927</v>
      </c>
      <c r="BB20" s="15">
        <v>93941</v>
      </c>
      <c r="BC20" s="15">
        <v>422</v>
      </c>
      <c r="BD20" s="15"/>
      <c r="BE20" s="15"/>
      <c r="BF20" s="15">
        <v>1707</v>
      </c>
      <c r="BG20" s="15">
        <v>1588</v>
      </c>
      <c r="BH20" s="15">
        <v>118</v>
      </c>
      <c r="BI20" s="15">
        <v>28</v>
      </c>
      <c r="BJ20" s="15">
        <v>2339</v>
      </c>
      <c r="BK20" s="15">
        <v>2116</v>
      </c>
      <c r="BL20" s="15">
        <v>218</v>
      </c>
      <c r="BM20" s="15">
        <v>436</v>
      </c>
      <c r="BN20" s="15">
        <v>2403</v>
      </c>
      <c r="BO20" s="15">
        <v>1823</v>
      </c>
      <c r="BP20" s="15">
        <v>577</v>
      </c>
      <c r="BQ20" s="15">
        <v>2845</v>
      </c>
      <c r="BR20" s="15">
        <v>1808</v>
      </c>
      <c r="BS20" s="15">
        <v>1031</v>
      </c>
      <c r="BT20" s="15">
        <v>13</v>
      </c>
      <c r="BU20" s="15">
        <v>918</v>
      </c>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row>
    <row r="21" spans="1:100" s="13" customFormat="1" x14ac:dyDescent="0.3">
      <c r="A21" s="12">
        <v>18</v>
      </c>
      <c r="B21" s="12" t="s">
        <v>149</v>
      </c>
      <c r="C21" s="12" t="s">
        <v>92</v>
      </c>
      <c r="D21" s="12">
        <v>3</v>
      </c>
      <c r="E21" s="130">
        <v>45635</v>
      </c>
      <c r="F21" s="12">
        <v>1</v>
      </c>
      <c r="G21" s="12">
        <v>0</v>
      </c>
      <c r="H21" s="14">
        <v>0.56999999999999995</v>
      </c>
      <c r="I21" s="12">
        <v>0</v>
      </c>
      <c r="J21" s="12">
        <v>0</v>
      </c>
      <c r="K21" s="12">
        <v>0</v>
      </c>
      <c r="L21" s="12">
        <v>100000</v>
      </c>
      <c r="M21" s="12">
        <v>7.3</v>
      </c>
      <c r="N21" s="15">
        <f t="shared" si="2"/>
        <v>13698.630136986301</v>
      </c>
      <c r="O21" s="12">
        <v>100000</v>
      </c>
      <c r="P21" s="12">
        <v>3.1</v>
      </c>
      <c r="Q21" s="15">
        <f t="shared" si="3"/>
        <v>32258.06451612903</v>
      </c>
      <c r="R21" s="12">
        <v>100000</v>
      </c>
      <c r="S21" s="12">
        <v>4</v>
      </c>
      <c r="T21" s="15">
        <f t="shared" si="4"/>
        <v>25000</v>
      </c>
      <c r="U21" s="15">
        <v>3.36283185840708</v>
      </c>
      <c r="V21" s="15">
        <v>9904.8700000000008</v>
      </c>
      <c r="W21" s="15">
        <v>10180.219999999999</v>
      </c>
      <c r="X21" s="14">
        <v>0.08</v>
      </c>
      <c r="Y21" s="14">
        <v>0.09</v>
      </c>
      <c r="Z21" s="14">
        <v>0.53</v>
      </c>
      <c r="AA21" s="15">
        <v>7.0796460176991163</v>
      </c>
      <c r="AB21" s="15">
        <v>2.4523160762942782</v>
      </c>
      <c r="AC21" s="15">
        <v>13.947368421052634</v>
      </c>
      <c r="AD21" s="14">
        <v>0.17</v>
      </c>
      <c r="AE21" s="14">
        <v>1.1299999999999999</v>
      </c>
      <c r="AF21" s="14">
        <v>3.67</v>
      </c>
      <c r="AG21" s="14">
        <v>3.8</v>
      </c>
      <c r="AH21" s="14">
        <f t="shared" si="5"/>
        <v>3800</v>
      </c>
      <c r="AI21" s="15">
        <v>6.5</v>
      </c>
      <c r="AJ21" s="15">
        <v>93.41</v>
      </c>
      <c r="AK21" s="15">
        <v>13.3</v>
      </c>
      <c r="AL21" s="15">
        <v>86.53</v>
      </c>
      <c r="AM21" s="15">
        <f t="shared" si="0"/>
        <v>505.40000000000003</v>
      </c>
      <c r="AN21" s="15">
        <f t="shared" si="1"/>
        <v>3288.14</v>
      </c>
      <c r="AO21" s="14">
        <v>6.505855269742769</v>
      </c>
      <c r="AP21" s="14">
        <v>13.322648502454173</v>
      </c>
      <c r="AQ21" s="14"/>
      <c r="AR21" s="14">
        <f>AP21/$AQ$4</f>
        <v>1.2355642138103178</v>
      </c>
      <c r="AS21" s="14">
        <v>1.1299999999999999</v>
      </c>
      <c r="AT21" s="14">
        <v>1.9</v>
      </c>
      <c r="AU21" s="14">
        <v>2.92</v>
      </c>
      <c r="AV21" s="15">
        <v>30.7</v>
      </c>
      <c r="AW21" s="15">
        <v>69.010000000000005</v>
      </c>
      <c r="AX21" s="15">
        <v>36.729999999999997</v>
      </c>
      <c r="AY21" s="15">
        <v>63.16</v>
      </c>
      <c r="AZ21" s="14">
        <v>30.789288937919967</v>
      </c>
      <c r="BA21" s="14">
        <v>36.770447492241466</v>
      </c>
      <c r="BB21" s="15">
        <v>92439</v>
      </c>
      <c r="BC21" s="15">
        <v>152</v>
      </c>
      <c r="BD21" s="15">
        <v>827</v>
      </c>
      <c r="BE21" s="15">
        <v>59</v>
      </c>
      <c r="BF21" s="15">
        <v>3263</v>
      </c>
      <c r="BG21" s="15">
        <v>3048</v>
      </c>
      <c r="BH21" s="15">
        <v>212</v>
      </c>
      <c r="BI21" s="15">
        <v>78</v>
      </c>
      <c r="BJ21" s="15">
        <v>3414</v>
      </c>
      <c r="BK21" s="15">
        <v>2954</v>
      </c>
      <c r="BL21" s="15">
        <v>454</v>
      </c>
      <c r="BM21" s="15">
        <v>476</v>
      </c>
      <c r="BN21" s="15">
        <v>1736</v>
      </c>
      <c r="BO21" s="15">
        <v>1198</v>
      </c>
      <c r="BP21" s="15">
        <v>533</v>
      </c>
      <c r="BQ21" s="15">
        <v>2592</v>
      </c>
      <c r="BR21" s="15">
        <v>1637</v>
      </c>
      <c r="BS21" s="15">
        <v>952</v>
      </c>
      <c r="BT21" s="15">
        <v>8</v>
      </c>
      <c r="BU21" s="15">
        <v>1413</v>
      </c>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row>
    <row r="22" spans="1:100" s="13" customFormat="1" x14ac:dyDescent="0.3">
      <c r="A22" s="12">
        <v>19</v>
      </c>
      <c r="B22" s="12" t="s">
        <v>148</v>
      </c>
      <c r="C22" s="12" t="s">
        <v>92</v>
      </c>
      <c r="D22" s="12">
        <v>3</v>
      </c>
      <c r="E22" s="130">
        <v>45635</v>
      </c>
      <c r="F22" s="12">
        <v>2</v>
      </c>
      <c r="G22" s="12">
        <v>0</v>
      </c>
      <c r="H22" s="14">
        <v>0.6</v>
      </c>
      <c r="I22" s="12">
        <v>1</v>
      </c>
      <c r="J22" s="12">
        <v>0</v>
      </c>
      <c r="K22" s="12">
        <v>1</v>
      </c>
      <c r="L22" s="12"/>
      <c r="M22" s="12"/>
      <c r="N22" s="15"/>
      <c r="O22" s="12">
        <v>100000</v>
      </c>
      <c r="P22" s="12">
        <v>9</v>
      </c>
      <c r="Q22" s="15">
        <f t="shared" si="3"/>
        <v>11111.111111111111</v>
      </c>
      <c r="R22" s="12">
        <v>100000</v>
      </c>
      <c r="S22" s="12">
        <v>9.8000000000000007</v>
      </c>
      <c r="T22" s="15">
        <f t="shared" si="4"/>
        <v>10204.08163265306</v>
      </c>
      <c r="U22" s="15">
        <v>3.975609756097561</v>
      </c>
      <c r="V22" s="15">
        <v>7332.6</v>
      </c>
      <c r="W22" s="15">
        <v>6919.84</v>
      </c>
      <c r="X22" s="14">
        <v>0.11</v>
      </c>
      <c r="Y22" s="14">
        <v>0.04</v>
      </c>
      <c r="Z22" s="14">
        <v>0.16</v>
      </c>
      <c r="AA22" s="15">
        <v>8.9430894308943092</v>
      </c>
      <c r="AB22" s="15">
        <v>1.4336917562724014</v>
      </c>
      <c r="AC22" s="15">
        <v>3.2719836400818001</v>
      </c>
      <c r="AD22" s="14">
        <v>0.42</v>
      </c>
      <c r="AE22" s="14">
        <v>1.23</v>
      </c>
      <c r="AF22" s="14">
        <v>2.79</v>
      </c>
      <c r="AG22" s="14">
        <v>4.8899999999999997</v>
      </c>
      <c r="AH22" s="14">
        <f t="shared" si="5"/>
        <v>4890</v>
      </c>
      <c r="AI22" s="15">
        <v>12.73</v>
      </c>
      <c r="AJ22" s="15">
        <v>87.15</v>
      </c>
      <c r="AK22" s="15">
        <v>14.01</v>
      </c>
      <c r="AL22" s="15">
        <v>85.9</v>
      </c>
      <c r="AM22" s="15">
        <f t="shared" si="0"/>
        <v>685.08900000000006</v>
      </c>
      <c r="AN22" s="15">
        <f t="shared" si="1"/>
        <v>4200.51</v>
      </c>
      <c r="AO22" s="14">
        <v>12.745294353223869</v>
      </c>
      <c r="AP22" s="14">
        <v>14.022620358322488</v>
      </c>
      <c r="AQ22" s="14"/>
      <c r="AR22" s="14">
        <f>AP22/$AQ$4</f>
        <v>1.3004807486589229</v>
      </c>
      <c r="AS22" s="14">
        <v>1.23</v>
      </c>
      <c r="AT22" s="14">
        <v>2.62</v>
      </c>
      <c r="AU22" s="14">
        <v>4.88</v>
      </c>
      <c r="AV22" s="15">
        <v>26.46</v>
      </c>
      <c r="AW22" s="15">
        <v>73.41</v>
      </c>
      <c r="AX22" s="15">
        <v>30.46</v>
      </c>
      <c r="AY22" s="15">
        <v>69.430000000000007</v>
      </c>
      <c r="AZ22" s="14">
        <v>26.494442775608292</v>
      </c>
      <c r="BA22" s="14">
        <v>30.493542897186902</v>
      </c>
      <c r="BB22" s="15">
        <v>89732</v>
      </c>
      <c r="BC22" s="15">
        <v>369</v>
      </c>
      <c r="BD22" s="15">
        <v>1112</v>
      </c>
      <c r="BE22" s="15">
        <v>97</v>
      </c>
      <c r="BF22" s="15">
        <v>2530</v>
      </c>
      <c r="BG22" s="15">
        <v>2205</v>
      </c>
      <c r="BH22" s="15">
        <v>322</v>
      </c>
      <c r="BI22" s="15">
        <v>32</v>
      </c>
      <c r="BJ22" s="15">
        <v>4468</v>
      </c>
      <c r="BK22" s="15">
        <v>3838</v>
      </c>
      <c r="BL22" s="15">
        <v>626</v>
      </c>
      <c r="BM22" s="15">
        <v>149</v>
      </c>
      <c r="BN22" s="15">
        <v>2343</v>
      </c>
      <c r="BO22" s="15">
        <v>1720</v>
      </c>
      <c r="BP22" s="15">
        <v>620</v>
      </c>
      <c r="BQ22" s="15">
        <v>4288</v>
      </c>
      <c r="BR22" s="15">
        <v>2977</v>
      </c>
      <c r="BS22" s="15">
        <v>1306</v>
      </c>
      <c r="BT22" s="15">
        <v>11</v>
      </c>
      <c r="BU22" s="15">
        <v>1843</v>
      </c>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row>
    <row r="23" spans="1:100" s="13" customFormat="1" x14ac:dyDescent="0.3">
      <c r="A23" s="12">
        <v>20</v>
      </c>
      <c r="B23" s="12" t="s">
        <v>150</v>
      </c>
      <c r="C23" s="12" t="s">
        <v>92</v>
      </c>
      <c r="D23" s="12">
        <v>3</v>
      </c>
      <c r="E23" s="130">
        <v>45635</v>
      </c>
      <c r="F23" s="12">
        <v>3</v>
      </c>
      <c r="G23" s="12">
        <v>3</v>
      </c>
      <c r="H23" s="14">
        <v>5.61</v>
      </c>
      <c r="I23" s="12">
        <v>1</v>
      </c>
      <c r="J23" s="12">
        <v>1</v>
      </c>
      <c r="K23" s="12">
        <v>0</v>
      </c>
      <c r="L23" s="12">
        <v>100000</v>
      </c>
      <c r="M23" s="12">
        <v>4.4000000000000004</v>
      </c>
      <c r="N23" s="15">
        <f t="shared" si="2"/>
        <v>22727.272727272724</v>
      </c>
      <c r="O23" s="12">
        <v>100000</v>
      </c>
      <c r="P23" s="12">
        <v>4.5999999999999996</v>
      </c>
      <c r="Q23" s="15">
        <f t="shared" si="3"/>
        <v>21739.130434782612</v>
      </c>
      <c r="R23" s="12">
        <v>100000</v>
      </c>
      <c r="S23" s="12">
        <v>4.0999999999999996</v>
      </c>
      <c r="T23" s="15">
        <f t="shared" si="4"/>
        <v>24390.243902439026</v>
      </c>
      <c r="U23" s="15">
        <v>4.3636363636363633</v>
      </c>
      <c r="V23" s="15">
        <v>7817.38</v>
      </c>
      <c r="W23" s="15">
        <v>9694.16</v>
      </c>
      <c r="X23" s="14">
        <v>0.05</v>
      </c>
      <c r="Y23" s="14">
        <v>0.04</v>
      </c>
      <c r="Z23" s="14">
        <v>0.33</v>
      </c>
      <c r="AA23" s="15">
        <v>7.5757575757575761</v>
      </c>
      <c r="AB23" s="15">
        <v>1.8691588785046727</v>
      </c>
      <c r="AC23" s="15">
        <v>11.458333333333334</v>
      </c>
      <c r="AD23" s="14">
        <v>0.28999999999999998</v>
      </c>
      <c r="AE23" s="14">
        <v>0.66</v>
      </c>
      <c r="AF23" s="14">
        <v>2.14</v>
      </c>
      <c r="AG23" s="14">
        <v>2.88</v>
      </c>
      <c r="AH23" s="14">
        <f t="shared" si="5"/>
        <v>2880</v>
      </c>
      <c r="AI23" s="15">
        <v>4.33</v>
      </c>
      <c r="AJ23" s="15">
        <v>95.51</v>
      </c>
      <c r="AK23" s="15">
        <v>5.0199999999999996</v>
      </c>
      <c r="AL23" s="15">
        <v>94.83</v>
      </c>
      <c r="AM23" s="15">
        <f t="shared" si="0"/>
        <v>144.57599999999999</v>
      </c>
      <c r="AN23" s="15">
        <f t="shared" si="1"/>
        <v>2731.1040000000003</v>
      </c>
      <c r="AO23" s="14">
        <v>4.3369391025641022</v>
      </c>
      <c r="AP23" s="14">
        <v>5.0275413119679522</v>
      </c>
      <c r="AQ23" s="14"/>
      <c r="AR23" s="14">
        <f>AP23/$AQ$4</f>
        <v>0.46626240475955572</v>
      </c>
      <c r="AS23" s="14">
        <v>0.66</v>
      </c>
      <c r="AT23" s="14">
        <v>1.46</v>
      </c>
      <c r="AU23" s="14">
        <v>1.95</v>
      </c>
      <c r="AV23" s="15">
        <v>18.05</v>
      </c>
      <c r="AW23" s="15">
        <v>81.72</v>
      </c>
      <c r="AX23" s="15">
        <v>19.88</v>
      </c>
      <c r="AY23" s="15">
        <v>79.73</v>
      </c>
      <c r="AZ23" s="14">
        <v>18.091610704620628</v>
      </c>
      <c r="BA23" s="14">
        <v>19.957835558678845</v>
      </c>
      <c r="BB23" s="15">
        <v>86967</v>
      </c>
      <c r="BC23" s="15">
        <v>244</v>
      </c>
      <c r="BD23" s="15">
        <v>577</v>
      </c>
      <c r="BE23" s="15">
        <v>43</v>
      </c>
      <c r="BF23" s="15">
        <v>1894</v>
      </c>
      <c r="BG23" s="15">
        <v>1809</v>
      </c>
      <c r="BH23" s="15">
        <v>82</v>
      </c>
      <c r="BI23" s="15">
        <v>34</v>
      </c>
      <c r="BJ23" s="15">
        <v>2532</v>
      </c>
      <c r="BK23" s="15">
        <v>2401</v>
      </c>
      <c r="BL23" s="15">
        <v>127</v>
      </c>
      <c r="BM23" s="15">
        <v>290</v>
      </c>
      <c r="BN23" s="15">
        <v>1313</v>
      </c>
      <c r="BO23" s="15">
        <v>1073</v>
      </c>
      <c r="BP23" s="15">
        <v>237</v>
      </c>
      <c r="BQ23" s="15">
        <v>1776</v>
      </c>
      <c r="BR23" s="15">
        <v>1416</v>
      </c>
      <c r="BS23" s="15">
        <v>353</v>
      </c>
      <c r="BT23" s="15">
        <v>82</v>
      </c>
      <c r="BU23" s="15">
        <v>1463</v>
      </c>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row>
    <row r="24" spans="1:100" s="13" customFormat="1" x14ac:dyDescent="0.3">
      <c r="A24" s="12">
        <v>21</v>
      </c>
      <c r="B24" s="12" t="s">
        <v>150</v>
      </c>
      <c r="C24" s="12" t="s">
        <v>92</v>
      </c>
      <c r="D24" s="12">
        <v>3</v>
      </c>
      <c r="E24" s="130">
        <v>45635</v>
      </c>
      <c r="F24" s="12">
        <v>3</v>
      </c>
      <c r="G24" s="12">
        <v>0</v>
      </c>
      <c r="H24" s="14">
        <v>4.4800000000000004</v>
      </c>
      <c r="I24" s="12">
        <v>0</v>
      </c>
      <c r="J24" s="12">
        <v>1</v>
      </c>
      <c r="K24" s="12">
        <v>0</v>
      </c>
      <c r="L24" s="12">
        <v>100000</v>
      </c>
      <c r="M24" s="12">
        <v>4.2</v>
      </c>
      <c r="N24" s="15">
        <f t="shared" si="2"/>
        <v>23809.523809523809</v>
      </c>
      <c r="O24" s="12">
        <v>100000</v>
      </c>
      <c r="P24" s="12">
        <v>4.4000000000000004</v>
      </c>
      <c r="Q24" s="15">
        <f t="shared" si="3"/>
        <v>22727.272727272724</v>
      </c>
      <c r="R24" s="12">
        <v>100000</v>
      </c>
      <c r="S24" s="12">
        <v>3.9</v>
      </c>
      <c r="T24" s="15">
        <f t="shared" si="4"/>
        <v>25641.025641025641</v>
      </c>
      <c r="U24" s="15">
        <v>5.2295081967213113</v>
      </c>
      <c r="V24" s="15">
        <v>8202.84</v>
      </c>
      <c r="W24" s="15">
        <v>8616.26</v>
      </c>
      <c r="X24" s="14">
        <v>0.06</v>
      </c>
      <c r="Y24" s="14">
        <v>0.04</v>
      </c>
      <c r="Z24" s="14">
        <v>0.34</v>
      </c>
      <c r="AA24" s="15">
        <v>9.8360655737704921</v>
      </c>
      <c r="AB24" s="15">
        <v>1.809954751131222</v>
      </c>
      <c r="AC24" s="15">
        <v>10.658307210031349</v>
      </c>
      <c r="AD24" s="14">
        <v>0.21</v>
      </c>
      <c r="AE24" s="14">
        <v>0.61</v>
      </c>
      <c r="AF24" s="14">
        <v>2.21</v>
      </c>
      <c r="AG24" s="14">
        <v>3.19</v>
      </c>
      <c r="AH24" s="14">
        <f t="shared" si="5"/>
        <v>3190</v>
      </c>
      <c r="AI24" s="15">
        <v>6.51</v>
      </c>
      <c r="AJ24" s="15">
        <v>93.09</v>
      </c>
      <c r="AK24" s="15">
        <v>6.67</v>
      </c>
      <c r="AL24" s="15">
        <v>93.01</v>
      </c>
      <c r="AM24" s="15">
        <f t="shared" si="0"/>
        <v>212.773</v>
      </c>
      <c r="AN24" s="15">
        <f t="shared" si="1"/>
        <v>2967.0190000000002</v>
      </c>
      <c r="AO24" s="14">
        <v>6.5361445783132517</v>
      </c>
      <c r="AP24" s="14">
        <v>6.6914125200642047</v>
      </c>
      <c r="AQ24" s="14"/>
      <c r="AR24" s="14">
        <f>AP24/$AQ$4</f>
        <v>0.62057254217212543</v>
      </c>
      <c r="AS24" s="14">
        <v>0.61</v>
      </c>
      <c r="AT24" s="14">
        <v>1.53</v>
      </c>
      <c r="AU24" s="14">
        <v>2.12</v>
      </c>
      <c r="AV24" s="15">
        <v>15.28</v>
      </c>
      <c r="AW24" s="15">
        <v>84.58</v>
      </c>
      <c r="AX24" s="15">
        <v>17.93</v>
      </c>
      <c r="AY24" s="15">
        <v>81.77</v>
      </c>
      <c r="AZ24" s="14">
        <v>15.301421990787102</v>
      </c>
      <c r="BA24" s="14">
        <v>17.983951855566701</v>
      </c>
      <c r="BB24" s="15">
        <v>91233</v>
      </c>
      <c r="BC24" s="15">
        <v>186</v>
      </c>
      <c r="BD24" s="15"/>
      <c r="BE24" s="15">
        <v>50</v>
      </c>
      <c r="BF24" s="15">
        <v>1997</v>
      </c>
      <c r="BG24" s="15">
        <v>1859</v>
      </c>
      <c r="BH24" s="15">
        <v>130</v>
      </c>
      <c r="BI24" s="15">
        <v>33</v>
      </c>
      <c r="BJ24" s="15">
        <v>2863</v>
      </c>
      <c r="BK24" s="15">
        <v>2663</v>
      </c>
      <c r="BL24" s="15">
        <v>191</v>
      </c>
      <c r="BM24" s="15">
        <v>305</v>
      </c>
      <c r="BN24" s="15">
        <v>1394</v>
      </c>
      <c r="BO24" s="15">
        <v>1179</v>
      </c>
      <c r="BP24" s="15">
        <v>213</v>
      </c>
      <c r="BQ24" s="15">
        <v>1947</v>
      </c>
      <c r="BR24" s="15">
        <v>1592</v>
      </c>
      <c r="BS24" s="15">
        <v>349</v>
      </c>
      <c r="BT24" s="15">
        <v>62</v>
      </c>
      <c r="BU24" s="15">
        <v>1383</v>
      </c>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row>
    <row r="25" spans="1:100" s="21" customFormat="1" x14ac:dyDescent="0.3">
      <c r="A25" s="18">
        <v>22</v>
      </c>
      <c r="B25" s="18" t="s">
        <v>515</v>
      </c>
      <c r="C25" s="18" t="s">
        <v>88</v>
      </c>
      <c r="D25" s="18">
        <v>4</v>
      </c>
      <c r="E25" s="129">
        <v>45645</v>
      </c>
      <c r="F25" s="18">
        <v>0</v>
      </c>
      <c r="G25" s="18">
        <v>0</v>
      </c>
      <c r="H25" s="19">
        <v>0.21</v>
      </c>
      <c r="I25" s="18">
        <v>1</v>
      </c>
      <c r="J25" s="18">
        <v>2</v>
      </c>
      <c r="K25" s="18">
        <v>0</v>
      </c>
      <c r="L25" s="18">
        <v>100000</v>
      </c>
      <c r="M25" s="18">
        <v>3</v>
      </c>
      <c r="N25" s="20">
        <f>(L25)/(M25)</f>
        <v>33333.333333333336</v>
      </c>
      <c r="O25" s="18">
        <v>100000</v>
      </c>
      <c r="P25" s="18">
        <v>2.8</v>
      </c>
      <c r="Q25" s="20">
        <f>(O25)/(P25)</f>
        <v>35714.285714285717</v>
      </c>
      <c r="R25" s="18">
        <v>100000</v>
      </c>
      <c r="S25" s="18">
        <v>2.8</v>
      </c>
      <c r="T25" s="20">
        <f>(R25)/(S25)</f>
        <v>35714.285714285717</v>
      </c>
      <c r="U25" s="20">
        <v>4.9279279279279269</v>
      </c>
      <c r="V25" s="20">
        <v>21865.8</v>
      </c>
      <c r="W25" s="20">
        <v>10291.49</v>
      </c>
      <c r="X25" s="19">
        <v>0.5</v>
      </c>
      <c r="Y25" s="19">
        <v>0.2</v>
      </c>
      <c r="Z25" s="19">
        <v>0.71</v>
      </c>
      <c r="AA25" s="20">
        <v>50</v>
      </c>
      <c r="AB25" s="20">
        <v>5.0890585241730282</v>
      </c>
      <c r="AC25" s="20">
        <v>12.979890310786105</v>
      </c>
      <c r="AD25" s="19">
        <v>0.98</v>
      </c>
      <c r="AE25" s="19">
        <v>1.1100000000000001</v>
      </c>
      <c r="AF25" s="19">
        <v>3.93</v>
      </c>
      <c r="AG25" s="19">
        <v>5.47</v>
      </c>
      <c r="AH25" s="19">
        <f>(AG25/100)*100000</f>
        <v>5470</v>
      </c>
      <c r="AI25" s="20">
        <v>10.4</v>
      </c>
      <c r="AJ25" s="20">
        <v>89.43</v>
      </c>
      <c r="AK25" s="20">
        <v>8.49</v>
      </c>
      <c r="AL25" s="20">
        <v>91.27</v>
      </c>
      <c r="AM25" s="20">
        <f>(AK25/100)*(AH25)</f>
        <v>464.40300000000002</v>
      </c>
      <c r="AN25" s="20">
        <f>(AL25/100)*(AH25)</f>
        <v>4992.4690000000001</v>
      </c>
      <c r="AO25" s="19">
        <v>10.417710107182208</v>
      </c>
      <c r="AP25" s="19">
        <v>8.5104250200481157</v>
      </c>
      <c r="AQ25" s="19"/>
      <c r="AR25" s="19"/>
      <c r="AS25" s="19">
        <v>1.1100000000000001</v>
      </c>
      <c r="AT25" s="19">
        <v>1.76</v>
      </c>
      <c r="AU25" s="19">
        <v>2.98</v>
      </c>
      <c r="AV25" s="20">
        <v>22.55</v>
      </c>
      <c r="AW25" s="20">
        <v>77.39</v>
      </c>
      <c r="AX25" s="20">
        <v>34.64</v>
      </c>
      <c r="AY25" s="20">
        <v>65.16</v>
      </c>
      <c r="AZ25" s="19">
        <v>22.563538122873723</v>
      </c>
      <c r="BA25" s="19">
        <v>34.709418837675358</v>
      </c>
      <c r="BB25" s="20">
        <v>88982</v>
      </c>
      <c r="BC25" s="20">
        <v>866</v>
      </c>
      <c r="BD25" s="20">
        <v>91303</v>
      </c>
      <c r="BE25" s="20">
        <v>455</v>
      </c>
      <c r="BF25" s="20">
        <v>3586</v>
      </c>
      <c r="BG25" s="20">
        <v>3207</v>
      </c>
      <c r="BH25" s="20">
        <v>373</v>
      </c>
      <c r="BI25" s="20">
        <v>4</v>
      </c>
      <c r="BJ25" s="20">
        <v>5019</v>
      </c>
      <c r="BK25" s="20">
        <v>4581</v>
      </c>
      <c r="BL25" s="20">
        <v>426</v>
      </c>
      <c r="BM25" s="20">
        <v>21</v>
      </c>
      <c r="BN25" s="20">
        <v>1650</v>
      </c>
      <c r="BO25" s="20">
        <v>1277</v>
      </c>
      <c r="BP25" s="20">
        <v>372</v>
      </c>
      <c r="BQ25" s="20">
        <v>3014</v>
      </c>
      <c r="BR25" s="20">
        <v>1964</v>
      </c>
      <c r="BS25" s="20">
        <v>1044</v>
      </c>
      <c r="BT25" s="20">
        <v>3</v>
      </c>
      <c r="BU25" s="20">
        <v>1458</v>
      </c>
      <c r="BV25" s="82"/>
      <c r="BW25" s="82"/>
      <c r="BX25" s="82"/>
      <c r="BY25" s="82"/>
      <c r="BZ25" s="82"/>
      <c r="CA25" s="82"/>
      <c r="CB25" s="82"/>
      <c r="CC25" s="82"/>
      <c r="CD25" s="82"/>
      <c r="CE25" s="82"/>
      <c r="CF25" s="82"/>
      <c r="CG25" s="82"/>
      <c r="CH25" s="82"/>
      <c r="CI25" s="82"/>
      <c r="CJ25" s="82"/>
      <c r="CK25" s="82"/>
      <c r="CL25" s="82"/>
      <c r="CM25" s="82"/>
      <c r="CN25" s="82"/>
      <c r="CO25" s="82"/>
      <c r="CP25" s="82"/>
      <c r="CQ25" s="82"/>
      <c r="CR25" s="82"/>
      <c r="CS25" s="82"/>
      <c r="CT25" s="82"/>
      <c r="CU25" s="82"/>
      <c r="CV25" s="82"/>
    </row>
    <row r="26" spans="1:100" s="21" customFormat="1" x14ac:dyDescent="0.3">
      <c r="A26" s="18">
        <v>23</v>
      </c>
      <c r="B26" s="18" t="s">
        <v>515</v>
      </c>
      <c r="C26" s="18" t="s">
        <v>87</v>
      </c>
      <c r="D26" s="18">
        <v>4</v>
      </c>
      <c r="E26" s="129">
        <v>45645</v>
      </c>
      <c r="F26" s="18">
        <v>0</v>
      </c>
      <c r="G26" s="18">
        <v>0</v>
      </c>
      <c r="H26" s="19">
        <v>0.69</v>
      </c>
      <c r="I26" s="18">
        <v>1</v>
      </c>
      <c r="J26" s="18">
        <v>2</v>
      </c>
      <c r="K26" s="18">
        <v>0</v>
      </c>
      <c r="L26" s="18">
        <v>100000</v>
      </c>
      <c r="M26" s="18">
        <v>4.2</v>
      </c>
      <c r="N26" s="20">
        <f>(L26)/(M26)</f>
        <v>23809.523809523809</v>
      </c>
      <c r="O26" s="18">
        <v>100000</v>
      </c>
      <c r="P26" s="18">
        <v>3.5</v>
      </c>
      <c r="Q26" s="20">
        <f>(O26)/(P26)</f>
        <v>28571.428571428572</v>
      </c>
      <c r="R26" s="18">
        <v>100000</v>
      </c>
      <c r="S26" s="18">
        <v>2.1</v>
      </c>
      <c r="T26" s="20">
        <f>(R26)/(S26)</f>
        <v>47619.047619047618</v>
      </c>
      <c r="U26" s="20">
        <v>6.17741935483871</v>
      </c>
      <c r="V26" s="20">
        <v>19441.64</v>
      </c>
      <c r="W26" s="20">
        <v>10737.74</v>
      </c>
      <c r="X26" s="19">
        <v>0.24</v>
      </c>
      <c r="Y26" s="19">
        <v>0.16</v>
      </c>
      <c r="Z26" s="19">
        <v>0.55000000000000004</v>
      </c>
      <c r="AA26" s="20">
        <v>42.857142857142847</v>
      </c>
      <c r="AB26" s="20">
        <v>5.5363321799307963</v>
      </c>
      <c r="AC26" s="20">
        <v>14.360313315926893</v>
      </c>
      <c r="AD26" s="19">
        <v>0.47</v>
      </c>
      <c r="AE26" s="19">
        <v>0.62</v>
      </c>
      <c r="AF26" s="19">
        <v>2.89</v>
      </c>
      <c r="AG26" s="19">
        <v>3.83</v>
      </c>
      <c r="AH26" s="19">
        <f>(AG26/100)*100000</f>
        <v>3830</v>
      </c>
      <c r="AI26" s="20">
        <v>7.95</v>
      </c>
      <c r="AJ26" s="20">
        <v>91.98</v>
      </c>
      <c r="AK26" s="20">
        <v>7.7</v>
      </c>
      <c r="AL26" s="20">
        <v>92.1</v>
      </c>
      <c r="AM26" s="20">
        <f>(AK26/100)*(AH26)</f>
        <v>294.90999999999997</v>
      </c>
      <c r="AN26" s="20">
        <f>(AL26/100)*(AH26)</f>
        <v>3527.43</v>
      </c>
      <c r="AO26" s="19">
        <v>7.9555688982287602</v>
      </c>
      <c r="AP26" s="19">
        <v>7.7154308617234477</v>
      </c>
      <c r="AQ26" s="19"/>
      <c r="AR26" s="19"/>
      <c r="AS26" s="19">
        <v>0.62</v>
      </c>
      <c r="AT26" s="19">
        <v>1.31</v>
      </c>
      <c r="AU26" s="19">
        <v>1.79</v>
      </c>
      <c r="AV26" s="20">
        <v>22.73</v>
      </c>
      <c r="AW26" s="20">
        <v>76.78</v>
      </c>
      <c r="AX26" s="20">
        <v>30.32</v>
      </c>
      <c r="AY26" s="20">
        <v>69.069999999999993</v>
      </c>
      <c r="AZ26" s="19">
        <v>22.841925434629683</v>
      </c>
      <c r="BA26" s="19">
        <v>30.50608713150217</v>
      </c>
      <c r="BB26" s="20">
        <v>90417</v>
      </c>
      <c r="BC26" s="20">
        <v>422</v>
      </c>
      <c r="BD26" s="20">
        <v>92010</v>
      </c>
      <c r="BE26" s="20">
        <v>222</v>
      </c>
      <c r="BF26" s="20">
        <v>2617</v>
      </c>
      <c r="BG26" s="20">
        <v>2407</v>
      </c>
      <c r="BH26" s="20">
        <v>208</v>
      </c>
      <c r="BI26" s="20">
        <v>3</v>
      </c>
      <c r="BJ26" s="20">
        <v>3468</v>
      </c>
      <c r="BK26" s="20">
        <v>3194</v>
      </c>
      <c r="BL26" s="20">
        <v>267</v>
      </c>
      <c r="BM26" s="20">
        <v>24</v>
      </c>
      <c r="BN26" s="20">
        <v>1236</v>
      </c>
      <c r="BO26" s="20">
        <v>949</v>
      </c>
      <c r="BP26" s="20">
        <v>281</v>
      </c>
      <c r="BQ26" s="20">
        <v>1814</v>
      </c>
      <c r="BR26" s="20">
        <v>1253</v>
      </c>
      <c r="BS26" s="20">
        <v>550</v>
      </c>
      <c r="BT26" s="20">
        <v>11</v>
      </c>
      <c r="BU26" s="20">
        <v>1588</v>
      </c>
      <c r="BV26" s="82"/>
      <c r="BW26" s="82"/>
      <c r="BX26" s="82"/>
      <c r="BY26" s="82"/>
      <c r="BZ26" s="82"/>
      <c r="CA26" s="82"/>
      <c r="CB26" s="82"/>
      <c r="CC26" s="82"/>
      <c r="CD26" s="82"/>
      <c r="CE26" s="82"/>
      <c r="CF26" s="82"/>
      <c r="CG26" s="82"/>
      <c r="CH26" s="82"/>
      <c r="CI26" s="82"/>
      <c r="CJ26" s="82"/>
      <c r="CK26" s="82"/>
      <c r="CL26" s="82"/>
      <c r="CM26" s="82"/>
      <c r="CN26" s="82"/>
      <c r="CO26" s="82"/>
      <c r="CP26" s="82"/>
      <c r="CQ26" s="82"/>
      <c r="CR26" s="82"/>
      <c r="CS26" s="82"/>
      <c r="CT26" s="82"/>
      <c r="CU26" s="82"/>
      <c r="CV26" s="82"/>
    </row>
    <row r="27" spans="1:100" s="21" customFormat="1" x14ac:dyDescent="0.3">
      <c r="A27" s="18">
        <v>24</v>
      </c>
      <c r="B27" s="18" t="s">
        <v>515</v>
      </c>
      <c r="C27" s="18" t="s">
        <v>87</v>
      </c>
      <c r="D27" s="18">
        <v>4</v>
      </c>
      <c r="E27" s="129">
        <v>45645</v>
      </c>
      <c r="F27" s="18">
        <v>0</v>
      </c>
      <c r="G27" s="18">
        <v>0</v>
      </c>
      <c r="H27" s="19">
        <v>0.19</v>
      </c>
      <c r="I27" s="18">
        <v>1</v>
      </c>
      <c r="J27" s="18">
        <v>2</v>
      </c>
      <c r="K27" s="18">
        <v>0</v>
      </c>
      <c r="L27" s="18">
        <v>100000</v>
      </c>
      <c r="M27" s="18">
        <v>3</v>
      </c>
      <c r="N27" s="20">
        <f>(L27)/(M27)</f>
        <v>33333.333333333336</v>
      </c>
      <c r="O27" s="18">
        <v>100000</v>
      </c>
      <c r="P27" s="18">
        <v>4.0999999999999996</v>
      </c>
      <c r="Q27" s="20">
        <f>(O27)/(P27)</f>
        <v>24390.243902439026</v>
      </c>
      <c r="R27" s="18">
        <v>100000</v>
      </c>
      <c r="S27" s="18">
        <v>3.7</v>
      </c>
      <c r="T27" s="20">
        <f>(R27)/(S27)</f>
        <v>27027.027027027027</v>
      </c>
      <c r="U27" s="20">
        <v>6.2653061224489797</v>
      </c>
      <c r="V27" s="20">
        <v>17811.810000000001</v>
      </c>
      <c r="W27" s="20">
        <v>10366.4</v>
      </c>
      <c r="X27" s="19">
        <v>0.18</v>
      </c>
      <c r="Y27" s="19">
        <v>0.11</v>
      </c>
      <c r="Z27" s="19">
        <v>0.39</v>
      </c>
      <c r="AA27" s="20">
        <v>40.909090909090907</v>
      </c>
      <c r="AB27" s="20">
        <v>5.0691244239631335</v>
      </c>
      <c r="AC27" s="20">
        <v>12.703583061889251</v>
      </c>
      <c r="AD27" s="19">
        <v>0.35</v>
      </c>
      <c r="AE27" s="19">
        <v>0.49</v>
      </c>
      <c r="AF27" s="19">
        <v>2.17</v>
      </c>
      <c r="AG27" s="19">
        <v>3.07</v>
      </c>
      <c r="AH27" s="19">
        <f>(AG27/100)*100000</f>
        <v>3070</v>
      </c>
      <c r="AI27" s="20">
        <v>7.08</v>
      </c>
      <c r="AJ27" s="20">
        <v>92.72</v>
      </c>
      <c r="AK27" s="20">
        <v>6.8</v>
      </c>
      <c r="AL27" s="20">
        <v>92.95</v>
      </c>
      <c r="AM27" s="20">
        <f>(AK27/100)*(AH27)</f>
        <v>208.76000000000002</v>
      </c>
      <c r="AN27" s="20">
        <f>(AL27/100)*(AH27)</f>
        <v>2853.5650000000001</v>
      </c>
      <c r="AO27" s="19">
        <v>7.0941883767535074</v>
      </c>
      <c r="AP27" s="19">
        <v>6.8170426065162912</v>
      </c>
      <c r="AQ27" s="19"/>
      <c r="AR27" s="19"/>
      <c r="AS27" s="19">
        <v>0.49</v>
      </c>
      <c r="AT27" s="19">
        <v>1.39</v>
      </c>
      <c r="AU27" s="19">
        <v>1.26</v>
      </c>
      <c r="AV27" s="20">
        <v>15.55</v>
      </c>
      <c r="AW27" s="20">
        <v>84.15</v>
      </c>
      <c r="AX27" s="20">
        <v>32.78</v>
      </c>
      <c r="AY27" s="20">
        <v>66.67</v>
      </c>
      <c r="AZ27" s="19">
        <v>15.59679037111334</v>
      </c>
      <c r="BA27" s="19">
        <v>32.961287078934134</v>
      </c>
      <c r="BB27" s="20">
        <v>92385</v>
      </c>
      <c r="BC27" s="20">
        <v>325</v>
      </c>
      <c r="BD27" s="20">
        <v>91803</v>
      </c>
      <c r="BE27" s="20">
        <v>163</v>
      </c>
      <c r="BF27" s="20">
        <v>1992</v>
      </c>
      <c r="BG27" s="20">
        <v>1847</v>
      </c>
      <c r="BH27" s="20">
        <v>141</v>
      </c>
      <c r="BI27" s="20">
        <v>2</v>
      </c>
      <c r="BJ27" s="20">
        <v>2780</v>
      </c>
      <c r="BK27" s="20">
        <v>2584</v>
      </c>
      <c r="BL27" s="20">
        <v>189</v>
      </c>
      <c r="BM27" s="20">
        <v>8</v>
      </c>
      <c r="BN27" s="20">
        <v>1312</v>
      </c>
      <c r="BO27" s="20">
        <v>1104</v>
      </c>
      <c r="BP27" s="20">
        <v>204</v>
      </c>
      <c r="BQ27" s="20">
        <v>1266</v>
      </c>
      <c r="BR27" s="20">
        <v>844</v>
      </c>
      <c r="BS27" s="20">
        <v>415</v>
      </c>
      <c r="BT27" s="20">
        <v>3</v>
      </c>
      <c r="BU27" s="20">
        <v>1585</v>
      </c>
      <c r="BV27" s="82"/>
      <c r="BW27" s="82"/>
      <c r="BX27" s="82"/>
      <c r="BY27" s="82"/>
      <c r="BZ27" s="82"/>
      <c r="CA27" s="82"/>
      <c r="CB27" s="82"/>
      <c r="CC27" s="82"/>
      <c r="CD27" s="82"/>
      <c r="CE27" s="82"/>
      <c r="CF27" s="82"/>
      <c r="CG27" s="82"/>
      <c r="CH27" s="82"/>
      <c r="CI27" s="82"/>
      <c r="CJ27" s="82"/>
      <c r="CK27" s="82"/>
      <c r="CL27" s="82"/>
      <c r="CM27" s="82"/>
      <c r="CN27" s="82"/>
      <c r="CO27" s="82"/>
      <c r="CP27" s="82"/>
      <c r="CQ27" s="82"/>
      <c r="CR27" s="82"/>
      <c r="CS27" s="82"/>
      <c r="CT27" s="82"/>
      <c r="CU27" s="82"/>
      <c r="CV27" s="82"/>
    </row>
    <row r="28" spans="1:100" s="13" customFormat="1" x14ac:dyDescent="0.3">
      <c r="A28" s="12">
        <v>25</v>
      </c>
      <c r="B28" s="12" t="s">
        <v>147</v>
      </c>
      <c r="C28" s="12" t="s">
        <v>92</v>
      </c>
      <c r="D28" s="12">
        <v>4</v>
      </c>
      <c r="E28" s="130">
        <v>45645</v>
      </c>
      <c r="F28" s="12">
        <v>0</v>
      </c>
      <c r="G28" s="12">
        <v>0</v>
      </c>
      <c r="H28" s="14">
        <v>1.18</v>
      </c>
      <c r="I28" s="12">
        <v>1</v>
      </c>
      <c r="J28" s="12">
        <v>0</v>
      </c>
      <c r="K28" s="12">
        <v>0</v>
      </c>
      <c r="L28" s="12"/>
      <c r="M28" s="12"/>
      <c r="N28" s="15"/>
      <c r="O28" s="12">
        <v>100000</v>
      </c>
      <c r="P28" s="12">
        <v>13.2</v>
      </c>
      <c r="Q28" s="15">
        <f t="shared" si="3"/>
        <v>7575.757575757576</v>
      </c>
      <c r="R28" s="12">
        <v>100000</v>
      </c>
      <c r="S28" s="12">
        <v>14.9</v>
      </c>
      <c r="T28" s="15">
        <f t="shared" si="4"/>
        <v>6711.4093959731545</v>
      </c>
      <c r="U28" s="15">
        <v>1.2959183673469388</v>
      </c>
      <c r="V28" s="15"/>
      <c r="W28" s="15">
        <v>16369.23</v>
      </c>
      <c r="X28" s="14">
        <v>0.69</v>
      </c>
      <c r="Y28" s="14">
        <v>0.09</v>
      </c>
      <c r="Z28" s="14">
        <v>0.31</v>
      </c>
      <c r="AA28" s="15">
        <v>70.408163265306129</v>
      </c>
      <c r="AB28" s="15">
        <v>5.2941176470588234</v>
      </c>
      <c r="AC28" s="15">
        <v>24.409448818897637</v>
      </c>
      <c r="AD28" s="14">
        <v>0.84</v>
      </c>
      <c r="AE28" s="14">
        <v>0.98</v>
      </c>
      <c r="AF28" s="14">
        <v>1.7</v>
      </c>
      <c r="AG28" s="14">
        <v>1.27</v>
      </c>
      <c r="AH28" s="14">
        <f t="shared" si="5"/>
        <v>1270</v>
      </c>
      <c r="AI28" s="15">
        <v>7.88</v>
      </c>
      <c r="AJ28" s="15">
        <v>92</v>
      </c>
      <c r="AK28" s="15">
        <v>10.37</v>
      </c>
      <c r="AL28" s="15">
        <v>88.95</v>
      </c>
      <c r="AM28" s="15">
        <f t="shared" si="0"/>
        <v>131.69899999999998</v>
      </c>
      <c r="AN28" s="15">
        <f t="shared" si="1"/>
        <v>1129.6650000000002</v>
      </c>
      <c r="AO28" s="14">
        <v>7.8894673608329997</v>
      </c>
      <c r="AP28" s="14">
        <v>10.44099879178413</v>
      </c>
      <c r="AQ28" s="14"/>
      <c r="AR28" s="14"/>
      <c r="AS28" s="14">
        <v>0.98</v>
      </c>
      <c r="AT28" s="14">
        <v>2.59</v>
      </c>
      <c r="AU28" s="14">
        <v>1.2</v>
      </c>
      <c r="AV28" s="15">
        <v>14.05</v>
      </c>
      <c r="AW28" s="15">
        <v>85.12</v>
      </c>
      <c r="AX28" s="15">
        <v>21.85</v>
      </c>
      <c r="AY28" s="15">
        <v>77.48</v>
      </c>
      <c r="AZ28" s="14">
        <v>14.167591005344359</v>
      </c>
      <c r="BA28" s="14">
        <v>21.997382462498742</v>
      </c>
      <c r="BB28" s="15">
        <v>95781</v>
      </c>
      <c r="BC28" s="15">
        <v>796</v>
      </c>
      <c r="BD28" s="15"/>
      <c r="BE28" s="15"/>
      <c r="BF28" s="15">
        <v>1600</v>
      </c>
      <c r="BG28" s="15">
        <v>1472</v>
      </c>
      <c r="BH28" s="15">
        <v>126</v>
      </c>
      <c r="BI28" s="15">
        <v>6</v>
      </c>
      <c r="BJ28" s="15">
        <v>1186</v>
      </c>
      <c r="BK28" s="15">
        <v>1055</v>
      </c>
      <c r="BL28" s="15">
        <v>123</v>
      </c>
      <c r="BM28" s="15">
        <v>12</v>
      </c>
      <c r="BN28" s="15">
        <v>121</v>
      </c>
      <c r="BO28" s="15">
        <v>103</v>
      </c>
      <c r="BP28" s="15">
        <v>17</v>
      </c>
      <c r="BQ28" s="15">
        <v>1208</v>
      </c>
      <c r="BR28" s="15">
        <v>936</v>
      </c>
      <c r="BS28" s="15">
        <v>264</v>
      </c>
      <c r="BT28" s="15">
        <v>21</v>
      </c>
      <c r="BU28" s="15">
        <v>1780</v>
      </c>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row>
    <row r="29" spans="1:100" s="13" customFormat="1" x14ac:dyDescent="0.3">
      <c r="A29" s="12">
        <v>26</v>
      </c>
      <c r="B29" s="12" t="s">
        <v>149</v>
      </c>
      <c r="C29" s="12" t="s">
        <v>92</v>
      </c>
      <c r="D29" s="12">
        <v>4</v>
      </c>
      <c r="E29" s="130">
        <v>45645</v>
      </c>
      <c r="F29" s="12">
        <v>1</v>
      </c>
      <c r="G29" s="12">
        <v>2</v>
      </c>
      <c r="H29" s="14">
        <v>1.21</v>
      </c>
      <c r="I29" s="12">
        <v>1</v>
      </c>
      <c r="J29" s="12">
        <v>0</v>
      </c>
      <c r="K29" s="12">
        <v>1</v>
      </c>
      <c r="L29" s="12"/>
      <c r="M29" s="12"/>
      <c r="N29" s="15"/>
      <c r="O29" s="12">
        <v>100000</v>
      </c>
      <c r="P29" s="12">
        <v>25.2</v>
      </c>
      <c r="Q29" s="15">
        <f t="shared" si="3"/>
        <v>3968.2539682539682</v>
      </c>
      <c r="R29" s="12">
        <v>100000</v>
      </c>
      <c r="S29" s="12">
        <v>37.299999999999997</v>
      </c>
      <c r="T29" s="15">
        <f t="shared" si="4"/>
        <v>2680.9651474530833</v>
      </c>
      <c r="U29" s="15">
        <v>1.9759615384615385</v>
      </c>
      <c r="V29" s="15"/>
      <c r="W29" s="15">
        <v>17836.7</v>
      </c>
      <c r="X29" s="14">
        <v>1.2</v>
      </c>
      <c r="Y29" s="14">
        <v>0.19</v>
      </c>
      <c r="Z29" s="14">
        <v>1.1299999999999999</v>
      </c>
      <c r="AA29" s="15">
        <v>57.692307692307686</v>
      </c>
      <c r="AB29" s="15">
        <v>4.5783132530120483</v>
      </c>
      <c r="AC29" s="15">
        <v>27.493917274939168</v>
      </c>
      <c r="AD29" s="14">
        <v>2</v>
      </c>
      <c r="AE29" s="14">
        <v>2.08</v>
      </c>
      <c r="AF29" s="14">
        <v>4.1500000000000004</v>
      </c>
      <c r="AG29" s="14">
        <v>4.1100000000000003</v>
      </c>
      <c r="AH29" s="14">
        <f t="shared" si="5"/>
        <v>4110.0000000000009</v>
      </c>
      <c r="AI29" s="15">
        <v>13.64</v>
      </c>
      <c r="AJ29" s="15">
        <v>86.28</v>
      </c>
      <c r="AK29" s="15">
        <v>17.71</v>
      </c>
      <c r="AL29" s="15">
        <v>81.94</v>
      </c>
      <c r="AM29" s="15">
        <f t="shared" si="0"/>
        <v>727.8810000000002</v>
      </c>
      <c r="AN29" s="15">
        <f t="shared" si="1"/>
        <v>3367.7340000000008</v>
      </c>
      <c r="AO29" s="14">
        <v>13.650920736589272</v>
      </c>
      <c r="AP29" s="14">
        <v>17.772202709483189</v>
      </c>
      <c r="AQ29" s="14"/>
      <c r="AR29" s="14">
        <f t="shared" ref="AR29:AR37" si="7">AP29/$AQ$4</f>
        <v>1.6482231490514196</v>
      </c>
      <c r="AS29" s="14">
        <v>2.08</v>
      </c>
      <c r="AT29" s="14">
        <v>43.3</v>
      </c>
      <c r="AU29" s="14">
        <v>4.92</v>
      </c>
      <c r="AV29" s="15">
        <v>30.94</v>
      </c>
      <c r="AW29" s="15">
        <v>64.75</v>
      </c>
      <c r="AX29" s="15">
        <v>41.62</v>
      </c>
      <c r="AY29" s="15">
        <v>58.2</v>
      </c>
      <c r="AZ29" s="14">
        <v>32.333577176298469</v>
      </c>
      <c r="BA29" s="14">
        <v>41.695051091965539</v>
      </c>
      <c r="BB29" s="15">
        <v>94067</v>
      </c>
      <c r="BC29" s="15">
        <v>3301</v>
      </c>
      <c r="BD29" s="15"/>
      <c r="BE29" s="15"/>
      <c r="BF29" s="15">
        <v>3863</v>
      </c>
      <c r="BG29" s="15">
        <v>3333</v>
      </c>
      <c r="BH29" s="15">
        <v>527</v>
      </c>
      <c r="BI29" s="15">
        <v>14</v>
      </c>
      <c r="BJ29" s="15">
        <v>3738</v>
      </c>
      <c r="BK29" s="15">
        <v>3063</v>
      </c>
      <c r="BL29" s="15">
        <v>662</v>
      </c>
      <c r="BM29" s="15">
        <v>59</v>
      </c>
      <c r="BN29" s="15">
        <v>139</v>
      </c>
      <c r="BO29" s="15">
        <v>90</v>
      </c>
      <c r="BP29" s="15">
        <v>43</v>
      </c>
      <c r="BQ29" s="15">
        <v>4983</v>
      </c>
      <c r="BR29" s="15">
        <v>2900</v>
      </c>
      <c r="BS29" s="15">
        <v>2074</v>
      </c>
      <c r="BT29" s="15">
        <v>16</v>
      </c>
      <c r="BU29" s="15">
        <v>1323</v>
      </c>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row>
    <row r="30" spans="1:100" s="13" customFormat="1" x14ac:dyDescent="0.3">
      <c r="A30" s="12">
        <v>27</v>
      </c>
      <c r="B30" s="12" t="s">
        <v>150</v>
      </c>
      <c r="C30" s="12" t="s">
        <v>92</v>
      </c>
      <c r="D30" s="12">
        <v>4</v>
      </c>
      <c r="E30" s="130">
        <v>45645</v>
      </c>
      <c r="F30" s="12">
        <v>3</v>
      </c>
      <c r="G30" s="12">
        <v>1</v>
      </c>
      <c r="H30" s="14">
        <v>6.31</v>
      </c>
      <c r="I30" s="12">
        <v>0</v>
      </c>
      <c r="J30" s="12">
        <v>1</v>
      </c>
      <c r="K30" s="12">
        <v>0</v>
      </c>
      <c r="L30" s="12">
        <v>100000</v>
      </c>
      <c r="M30" s="12">
        <v>7</v>
      </c>
      <c r="N30" s="15">
        <f t="shared" si="2"/>
        <v>14285.714285714286</v>
      </c>
      <c r="O30" s="12">
        <v>100000</v>
      </c>
      <c r="P30" s="12">
        <v>4.5</v>
      </c>
      <c r="Q30" s="15">
        <f t="shared" si="3"/>
        <v>22222.222222222223</v>
      </c>
      <c r="R30" s="12">
        <v>100000</v>
      </c>
      <c r="S30" s="12">
        <v>4.4000000000000004</v>
      </c>
      <c r="T30" s="15">
        <f t="shared" si="4"/>
        <v>22727.272727272724</v>
      </c>
      <c r="U30" s="15">
        <v>2.3647058823529408</v>
      </c>
      <c r="V30" s="15">
        <v>7205.75</v>
      </c>
      <c r="W30" s="15">
        <v>5525.86</v>
      </c>
      <c r="X30" s="14">
        <v>0.04</v>
      </c>
      <c r="Y30" s="14">
        <v>0.1</v>
      </c>
      <c r="Z30" s="14">
        <v>0.04</v>
      </c>
      <c r="AA30" s="15">
        <v>4.7058823529411766</v>
      </c>
      <c r="AB30" s="15">
        <v>3.3333333333333335</v>
      </c>
      <c r="AC30" s="15">
        <v>1.9900497512437814</v>
      </c>
      <c r="AD30" s="14">
        <v>0.77</v>
      </c>
      <c r="AE30" s="14">
        <v>0.85</v>
      </c>
      <c r="AF30" s="14">
        <v>3</v>
      </c>
      <c r="AG30" s="14">
        <v>2.0099999999999998</v>
      </c>
      <c r="AH30" s="14">
        <f t="shared" si="5"/>
        <v>2009.9999999999995</v>
      </c>
      <c r="AI30" s="15">
        <v>27.72</v>
      </c>
      <c r="AJ30" s="15">
        <v>71.989999999999995</v>
      </c>
      <c r="AK30" s="15">
        <v>6.74</v>
      </c>
      <c r="AL30" s="15">
        <v>92.98</v>
      </c>
      <c r="AM30" s="15">
        <f t="shared" si="0"/>
        <v>135.47399999999996</v>
      </c>
      <c r="AN30" s="15">
        <f t="shared" si="1"/>
        <v>1868.8979999999997</v>
      </c>
      <c r="AO30" s="14">
        <v>27.800621803229365</v>
      </c>
      <c r="AP30" s="14">
        <v>6.7589249899719217</v>
      </c>
      <c r="AQ30" s="14"/>
      <c r="AR30" s="14">
        <f t="shared" si="7"/>
        <v>0.62683375906068595</v>
      </c>
      <c r="AS30" s="14">
        <v>0.85</v>
      </c>
      <c r="AT30" s="14">
        <v>1.44</v>
      </c>
      <c r="AU30" s="14">
        <v>1.5</v>
      </c>
      <c r="AV30" s="15">
        <v>10.37</v>
      </c>
      <c r="AW30" s="15">
        <v>89.24</v>
      </c>
      <c r="AX30" s="15">
        <v>15.95</v>
      </c>
      <c r="AY30" s="15">
        <v>83.46</v>
      </c>
      <c r="AZ30" s="14">
        <v>10.410601345246461</v>
      </c>
      <c r="BA30" s="14">
        <v>16.04466351473695</v>
      </c>
      <c r="BB30" s="15">
        <v>88077</v>
      </c>
      <c r="BC30" s="15">
        <v>654</v>
      </c>
      <c r="BD30" s="15">
        <v>91096</v>
      </c>
      <c r="BE30" s="15">
        <v>38</v>
      </c>
      <c r="BF30" s="15">
        <v>2810</v>
      </c>
      <c r="BG30" s="15">
        <v>2023</v>
      </c>
      <c r="BH30" s="15">
        <v>779</v>
      </c>
      <c r="BI30" s="15">
        <v>6</v>
      </c>
      <c r="BJ30" s="15">
        <v>1795</v>
      </c>
      <c r="BK30" s="15">
        <v>1669</v>
      </c>
      <c r="BL30" s="15">
        <v>121</v>
      </c>
      <c r="BM30" s="15">
        <v>3</v>
      </c>
      <c r="BN30" s="15">
        <v>1292</v>
      </c>
      <c r="BO30" s="15">
        <v>1153</v>
      </c>
      <c r="BP30" s="15">
        <v>134</v>
      </c>
      <c r="BQ30" s="15">
        <v>1505</v>
      </c>
      <c r="BR30" s="15">
        <v>1256</v>
      </c>
      <c r="BS30" s="15">
        <v>240</v>
      </c>
      <c r="BT30" s="15">
        <v>85</v>
      </c>
      <c r="BU30" s="15">
        <v>1348</v>
      </c>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row>
    <row r="31" spans="1:100" s="13" customFormat="1" x14ac:dyDescent="0.3">
      <c r="A31" s="12">
        <v>28</v>
      </c>
      <c r="B31" s="12" t="s">
        <v>150</v>
      </c>
      <c r="C31" s="12" t="s">
        <v>92</v>
      </c>
      <c r="D31" s="12">
        <v>4</v>
      </c>
      <c r="E31" s="130">
        <v>45645</v>
      </c>
      <c r="F31" s="12">
        <v>3</v>
      </c>
      <c r="G31" s="12">
        <v>0</v>
      </c>
      <c r="H31" s="14">
        <v>4.8099999999999996</v>
      </c>
      <c r="I31" s="12">
        <v>0</v>
      </c>
      <c r="J31" s="12">
        <v>1</v>
      </c>
      <c r="K31" s="12">
        <v>0</v>
      </c>
      <c r="L31" s="12">
        <v>100000</v>
      </c>
      <c r="M31" s="12">
        <v>7.6</v>
      </c>
      <c r="N31" s="15">
        <f t="shared" si="2"/>
        <v>13157.894736842105</v>
      </c>
      <c r="O31" s="12">
        <v>100000</v>
      </c>
      <c r="P31" s="12">
        <v>8.4</v>
      </c>
      <c r="Q31" s="15">
        <f t="shared" si="3"/>
        <v>11904.761904761905</v>
      </c>
      <c r="R31" s="12">
        <v>100000</v>
      </c>
      <c r="S31" s="12">
        <v>6.3</v>
      </c>
      <c r="T31" s="15">
        <f t="shared" si="4"/>
        <v>15873.015873015873</v>
      </c>
      <c r="U31" s="15">
        <v>1.9054054054054053</v>
      </c>
      <c r="V31" s="15">
        <v>5752.31</v>
      </c>
      <c r="W31" s="15">
        <v>5413.15</v>
      </c>
      <c r="X31" s="14">
        <v>0.02</v>
      </c>
      <c r="Y31" s="14">
        <v>0.02</v>
      </c>
      <c r="Z31" s="14">
        <v>0.03</v>
      </c>
      <c r="AA31" s="15">
        <v>2.7027027027027026</v>
      </c>
      <c r="AB31" s="15">
        <v>1.6129032258064515</v>
      </c>
      <c r="AC31" s="15">
        <v>2.1276595744680851</v>
      </c>
      <c r="AD31" s="14">
        <v>0.87</v>
      </c>
      <c r="AE31" s="14">
        <v>0.74</v>
      </c>
      <c r="AF31" s="14">
        <v>1.24</v>
      </c>
      <c r="AG31" s="14">
        <v>1.41</v>
      </c>
      <c r="AH31" s="14">
        <f t="shared" si="5"/>
        <v>1410</v>
      </c>
      <c r="AI31" s="15">
        <v>5.99</v>
      </c>
      <c r="AJ31" s="15">
        <v>93.64</v>
      </c>
      <c r="AK31" s="15">
        <v>4.9000000000000004</v>
      </c>
      <c r="AL31" s="15">
        <v>94.61</v>
      </c>
      <c r="AM31" s="15">
        <f t="shared" si="0"/>
        <v>69.09</v>
      </c>
      <c r="AN31" s="15">
        <f t="shared" si="1"/>
        <v>1334.001</v>
      </c>
      <c r="AO31" s="14">
        <v>6.0122453076382625</v>
      </c>
      <c r="AP31" s="14">
        <v>4.9241282283187626</v>
      </c>
      <c r="AQ31" s="14"/>
      <c r="AR31" s="14">
        <f t="shared" si="7"/>
        <v>0.45667170623041758</v>
      </c>
      <c r="AS31" s="14">
        <v>0.74</v>
      </c>
      <c r="AT31" s="14">
        <v>1.03</v>
      </c>
      <c r="AU31" s="14">
        <v>1.05</v>
      </c>
      <c r="AV31" s="15">
        <v>5.62</v>
      </c>
      <c r="AW31" s="15">
        <v>94.15</v>
      </c>
      <c r="AX31" s="15">
        <v>7.1</v>
      </c>
      <c r="AY31" s="15">
        <v>92.05</v>
      </c>
      <c r="AZ31" s="14">
        <v>5.6329557983361731</v>
      </c>
      <c r="BA31" s="14">
        <v>7.1608673726676759</v>
      </c>
      <c r="BB31" s="15">
        <v>85739</v>
      </c>
      <c r="BC31" s="15">
        <v>714</v>
      </c>
      <c r="BD31" s="15">
        <v>87704</v>
      </c>
      <c r="BE31" s="15">
        <v>19</v>
      </c>
      <c r="BF31" s="15">
        <v>1069</v>
      </c>
      <c r="BG31" s="15">
        <v>1001</v>
      </c>
      <c r="BH31" s="15">
        <v>64</v>
      </c>
      <c r="BI31" s="15">
        <v>3</v>
      </c>
      <c r="BJ31" s="15">
        <v>1224</v>
      </c>
      <c r="BK31" s="15">
        <v>1158</v>
      </c>
      <c r="BL31" s="15">
        <v>60</v>
      </c>
      <c r="BM31" s="15">
        <v>2</v>
      </c>
      <c r="BN31" s="15">
        <v>889</v>
      </c>
      <c r="BO31" s="15">
        <v>837</v>
      </c>
      <c r="BP31" s="15">
        <v>50</v>
      </c>
      <c r="BQ31" s="15">
        <v>1057</v>
      </c>
      <c r="BR31" s="15">
        <v>973</v>
      </c>
      <c r="BS31" s="15">
        <v>75</v>
      </c>
      <c r="BT31" s="15">
        <v>81</v>
      </c>
      <c r="BU31" s="15">
        <v>1685</v>
      </c>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row>
    <row r="32" spans="1:100" s="13" customFormat="1" x14ac:dyDescent="0.3">
      <c r="A32" s="12">
        <v>29</v>
      </c>
      <c r="B32" s="12" t="s">
        <v>150</v>
      </c>
      <c r="C32" s="12" t="s">
        <v>92</v>
      </c>
      <c r="D32" s="12">
        <v>4</v>
      </c>
      <c r="E32" s="130">
        <v>45645</v>
      </c>
      <c r="F32" s="12">
        <v>3</v>
      </c>
      <c r="G32" s="12">
        <v>0</v>
      </c>
      <c r="H32" s="14">
        <v>6.72</v>
      </c>
      <c r="I32" s="12">
        <v>1</v>
      </c>
      <c r="J32" s="12">
        <v>1</v>
      </c>
      <c r="K32" s="12">
        <v>0</v>
      </c>
      <c r="L32" s="12">
        <v>100000</v>
      </c>
      <c r="M32" s="12">
        <v>7.7</v>
      </c>
      <c r="N32" s="15">
        <f t="shared" si="2"/>
        <v>12987.012987012986</v>
      </c>
      <c r="O32" s="12">
        <v>100000</v>
      </c>
      <c r="P32" s="12">
        <v>10.3</v>
      </c>
      <c r="Q32" s="15">
        <f t="shared" si="3"/>
        <v>9708.7378640776697</v>
      </c>
      <c r="R32" s="12">
        <v>100000</v>
      </c>
      <c r="S32" s="12">
        <v>8.6999999999999993</v>
      </c>
      <c r="T32" s="15">
        <f t="shared" si="4"/>
        <v>11494.252873563219</v>
      </c>
      <c r="U32" s="15">
        <v>1.7230769230769232</v>
      </c>
      <c r="V32" s="15">
        <v>5922.45</v>
      </c>
      <c r="W32" s="15">
        <v>5773.56</v>
      </c>
      <c r="X32" s="14">
        <v>0.01</v>
      </c>
      <c r="Y32" s="14">
        <v>0.02</v>
      </c>
      <c r="Z32" s="14">
        <v>0.04</v>
      </c>
      <c r="AA32" s="15">
        <v>1.5384615384615383</v>
      </c>
      <c r="AB32" s="15">
        <v>2.1276595744680855</v>
      </c>
      <c r="AC32" s="15">
        <v>3.5714285714285712</v>
      </c>
      <c r="AD32" s="14">
        <v>0.82</v>
      </c>
      <c r="AE32" s="14">
        <v>0.65</v>
      </c>
      <c r="AF32" s="14">
        <v>0.94</v>
      </c>
      <c r="AG32" s="14">
        <v>1.1200000000000001</v>
      </c>
      <c r="AH32" s="14">
        <f t="shared" si="5"/>
        <v>1120.0000000000002</v>
      </c>
      <c r="AI32" s="15">
        <v>17.59</v>
      </c>
      <c r="AJ32" s="15">
        <v>81.72</v>
      </c>
      <c r="AK32" s="15">
        <v>15.36</v>
      </c>
      <c r="AL32" s="15">
        <v>83.86</v>
      </c>
      <c r="AM32" s="15">
        <f t="shared" si="0"/>
        <v>172.03200000000001</v>
      </c>
      <c r="AN32" s="15">
        <f t="shared" si="1"/>
        <v>939.2320000000002</v>
      </c>
      <c r="AO32" s="14">
        <v>17.712214278521802</v>
      </c>
      <c r="AP32" s="14">
        <v>15.480749848820802</v>
      </c>
      <c r="AQ32" s="14"/>
      <c r="AR32" s="14">
        <f t="shared" si="7"/>
        <v>1.4357100626522563</v>
      </c>
      <c r="AS32" s="14">
        <v>0.65</v>
      </c>
      <c r="AT32" s="14">
        <v>0.92</v>
      </c>
      <c r="AU32" s="14">
        <v>0.93</v>
      </c>
      <c r="AV32" s="15">
        <v>20.52</v>
      </c>
      <c r="AW32" s="15">
        <v>79.02</v>
      </c>
      <c r="AX32" s="15">
        <v>19.940000000000001</v>
      </c>
      <c r="AY32" s="15">
        <v>79.31</v>
      </c>
      <c r="AZ32" s="14">
        <v>20.614828209764919</v>
      </c>
      <c r="BA32" s="14">
        <v>20.090680100755669</v>
      </c>
      <c r="BB32" s="15">
        <v>90781</v>
      </c>
      <c r="BC32" s="15">
        <v>731</v>
      </c>
      <c r="BD32" s="15">
        <v>94418</v>
      </c>
      <c r="BE32" s="15">
        <v>7</v>
      </c>
      <c r="BF32" s="15">
        <v>870</v>
      </c>
      <c r="BG32" s="15">
        <v>711</v>
      </c>
      <c r="BH32" s="15">
        <v>153</v>
      </c>
      <c r="BI32" s="15">
        <v>9</v>
      </c>
      <c r="BJ32" s="15">
        <v>1035</v>
      </c>
      <c r="BK32" s="15">
        <v>868</v>
      </c>
      <c r="BL32" s="15">
        <v>159</v>
      </c>
      <c r="BM32" s="15">
        <v>10</v>
      </c>
      <c r="BN32" s="15">
        <v>853</v>
      </c>
      <c r="BO32" s="15">
        <v>674</v>
      </c>
      <c r="BP32" s="15">
        <v>175</v>
      </c>
      <c r="BQ32" s="15">
        <v>933</v>
      </c>
      <c r="BR32" s="15">
        <v>740</v>
      </c>
      <c r="BS32" s="15">
        <v>186</v>
      </c>
      <c r="BT32" s="15">
        <v>115</v>
      </c>
      <c r="BU32" s="15">
        <v>1713</v>
      </c>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row>
    <row r="33" spans="1:100" s="13" customFormat="1" x14ac:dyDescent="0.3">
      <c r="A33" s="12">
        <v>30</v>
      </c>
      <c r="B33" s="12" t="s">
        <v>150</v>
      </c>
      <c r="C33" s="12" t="s">
        <v>92</v>
      </c>
      <c r="D33" s="12">
        <v>4</v>
      </c>
      <c r="E33" s="130">
        <v>45645</v>
      </c>
      <c r="F33" s="12">
        <v>3</v>
      </c>
      <c r="G33" s="12">
        <v>0</v>
      </c>
      <c r="H33" s="14">
        <v>5.6</v>
      </c>
      <c r="I33" s="12">
        <v>0</v>
      </c>
      <c r="J33" s="12">
        <v>1</v>
      </c>
      <c r="K33" s="12">
        <v>1</v>
      </c>
      <c r="L33" s="12">
        <v>100000</v>
      </c>
      <c r="M33" s="12">
        <v>10.199999999999999</v>
      </c>
      <c r="N33" s="15">
        <f t="shared" si="2"/>
        <v>9803.9215686274511</v>
      </c>
      <c r="O33" s="12">
        <v>100000</v>
      </c>
      <c r="P33" s="12">
        <v>9</v>
      </c>
      <c r="Q33" s="15">
        <f t="shared" si="3"/>
        <v>11111.111111111111</v>
      </c>
      <c r="R33" s="12">
        <v>100000</v>
      </c>
      <c r="S33" s="12">
        <v>9.1</v>
      </c>
      <c r="T33" s="15">
        <f t="shared" si="4"/>
        <v>10989.010989010989</v>
      </c>
      <c r="U33" s="15">
        <v>2.2285714285714282</v>
      </c>
      <c r="V33" s="15">
        <v>5943.54</v>
      </c>
      <c r="W33" s="15">
        <v>4949.46</v>
      </c>
      <c r="X33" s="14">
        <v>0.03</v>
      </c>
      <c r="Y33" s="14">
        <v>0.03</v>
      </c>
      <c r="Z33" s="14">
        <v>0.03</v>
      </c>
      <c r="AA33" s="15">
        <v>2.8571428571428572</v>
      </c>
      <c r="AB33" s="15">
        <v>1.6483516483516485</v>
      </c>
      <c r="AC33" s="15">
        <v>1.2820512820512819</v>
      </c>
      <c r="AD33" s="14">
        <v>1.1399999999999999</v>
      </c>
      <c r="AE33" s="14">
        <v>1.05</v>
      </c>
      <c r="AF33" s="14">
        <v>1.82</v>
      </c>
      <c r="AG33" s="14">
        <v>2.34</v>
      </c>
      <c r="AH33" s="14">
        <f t="shared" si="5"/>
        <v>2339.9999999999995</v>
      </c>
      <c r="AI33" s="15">
        <v>7.01</v>
      </c>
      <c r="AJ33" s="15">
        <v>92.5</v>
      </c>
      <c r="AK33" s="15">
        <v>4.82</v>
      </c>
      <c r="AL33" s="15">
        <v>94.95</v>
      </c>
      <c r="AM33" s="15">
        <f t="shared" si="0"/>
        <v>112.78799999999998</v>
      </c>
      <c r="AN33" s="15">
        <f t="shared" si="1"/>
        <v>2221.8299999999995</v>
      </c>
      <c r="AO33" s="14">
        <v>7.0445181388805134</v>
      </c>
      <c r="AP33" s="14">
        <v>4.8311115565801339</v>
      </c>
      <c r="AQ33" s="14"/>
      <c r="AR33" s="14">
        <f t="shared" si="7"/>
        <v>0.44804518794714832</v>
      </c>
      <c r="AS33" s="14">
        <v>1.05</v>
      </c>
      <c r="AT33" s="14">
        <v>1.73</v>
      </c>
      <c r="AU33" s="14">
        <v>1.87</v>
      </c>
      <c r="AV33" s="15">
        <v>9.43</v>
      </c>
      <c r="AW33" s="15">
        <v>90.5</v>
      </c>
      <c r="AX33" s="15">
        <v>9.0299999999999994</v>
      </c>
      <c r="AY33" s="15">
        <v>90.38</v>
      </c>
      <c r="AZ33" s="14">
        <v>9.4366056239367548</v>
      </c>
      <c r="BA33" s="14">
        <v>9.0835931998792869</v>
      </c>
      <c r="BB33" s="15">
        <v>87103</v>
      </c>
      <c r="BC33" s="15">
        <v>955</v>
      </c>
      <c r="BD33" s="15">
        <v>90308</v>
      </c>
      <c r="BE33" s="15">
        <v>24</v>
      </c>
      <c r="BF33" s="15">
        <v>1627</v>
      </c>
      <c r="BG33" s="15">
        <v>1505</v>
      </c>
      <c r="BH33" s="15">
        <v>114</v>
      </c>
      <c r="BI33" s="15">
        <v>5</v>
      </c>
      <c r="BJ33" s="15">
        <v>2117</v>
      </c>
      <c r="BK33" s="15">
        <v>2010</v>
      </c>
      <c r="BL33" s="15">
        <v>102</v>
      </c>
      <c r="BM33" s="15">
        <v>2</v>
      </c>
      <c r="BN33" s="15">
        <v>1537</v>
      </c>
      <c r="BO33" s="15">
        <v>1391</v>
      </c>
      <c r="BP33" s="15">
        <v>145</v>
      </c>
      <c r="BQ33" s="15">
        <v>1882</v>
      </c>
      <c r="BR33" s="15">
        <v>1701</v>
      </c>
      <c r="BS33" s="15">
        <v>170</v>
      </c>
      <c r="BT33" s="15">
        <v>78</v>
      </c>
      <c r="BU33" s="15">
        <v>1393</v>
      </c>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row>
    <row r="34" spans="1:100" s="13" customFormat="1" x14ac:dyDescent="0.3">
      <c r="A34" s="12">
        <v>31</v>
      </c>
      <c r="B34" s="12" t="s">
        <v>150</v>
      </c>
      <c r="C34" s="12" t="s">
        <v>92</v>
      </c>
      <c r="D34" s="12">
        <v>4</v>
      </c>
      <c r="E34" s="130">
        <v>45645</v>
      </c>
      <c r="F34" s="12">
        <v>3</v>
      </c>
      <c r="G34" s="12">
        <v>1</v>
      </c>
      <c r="H34" s="14">
        <v>1.59</v>
      </c>
      <c r="I34" s="12">
        <v>0</v>
      </c>
      <c r="J34" s="12">
        <v>1</v>
      </c>
      <c r="K34" s="12">
        <v>0</v>
      </c>
      <c r="L34" s="12">
        <v>100000</v>
      </c>
      <c r="M34" s="12">
        <v>11.8</v>
      </c>
      <c r="N34" s="15">
        <f t="shared" si="2"/>
        <v>8474.5762711864409</v>
      </c>
      <c r="O34" s="12">
        <v>100000</v>
      </c>
      <c r="P34" s="12">
        <v>7.2</v>
      </c>
      <c r="Q34" s="15">
        <f t="shared" si="3"/>
        <v>13888.888888888889</v>
      </c>
      <c r="R34" s="12">
        <v>100000</v>
      </c>
      <c r="S34" s="12">
        <v>9.1</v>
      </c>
      <c r="T34" s="15">
        <f t="shared" si="4"/>
        <v>10989.010989010989</v>
      </c>
      <c r="U34" s="15">
        <v>2.7419354838709675</v>
      </c>
      <c r="V34" s="15">
        <v>16232.47</v>
      </c>
      <c r="W34" s="15">
        <v>10233.56</v>
      </c>
      <c r="X34" s="14">
        <v>0.13</v>
      </c>
      <c r="Y34" s="14">
        <v>0.08</v>
      </c>
      <c r="Z34" s="14">
        <v>0.16</v>
      </c>
      <c r="AA34" s="15">
        <v>20.967741935483872</v>
      </c>
      <c r="AB34" s="15">
        <v>6.0606060606060606</v>
      </c>
      <c r="AC34" s="15">
        <v>9.4117647058823533</v>
      </c>
      <c r="AD34" s="14">
        <v>0.72</v>
      </c>
      <c r="AE34" s="14">
        <v>0.62</v>
      </c>
      <c r="AF34" s="14">
        <v>1.32</v>
      </c>
      <c r="AG34" s="14">
        <v>1.7</v>
      </c>
      <c r="AH34" s="14">
        <f t="shared" si="5"/>
        <v>1700.0000000000002</v>
      </c>
      <c r="AI34" s="15">
        <v>11.51</v>
      </c>
      <c r="AJ34" s="15">
        <v>88.49</v>
      </c>
      <c r="AK34" s="15">
        <v>10.76</v>
      </c>
      <c r="AL34" s="15">
        <v>88.97</v>
      </c>
      <c r="AM34" s="15">
        <f t="shared" si="0"/>
        <v>182.92000000000002</v>
      </c>
      <c r="AN34" s="15">
        <f t="shared" si="1"/>
        <v>1512.49</v>
      </c>
      <c r="AO34" s="14">
        <v>11.51</v>
      </c>
      <c r="AP34" s="14">
        <v>10.789130652762458</v>
      </c>
      <c r="AQ34" s="14"/>
      <c r="AR34" s="14">
        <f t="shared" si="7"/>
        <v>1.0006016243858418</v>
      </c>
      <c r="AS34" s="14">
        <v>0.62</v>
      </c>
      <c r="AT34" s="14">
        <v>1.32</v>
      </c>
      <c r="AU34" s="14">
        <v>0.96</v>
      </c>
      <c r="AV34" s="15">
        <v>14.43</v>
      </c>
      <c r="AW34" s="15">
        <v>84.9</v>
      </c>
      <c r="AX34" s="15">
        <v>22.42</v>
      </c>
      <c r="AY34" s="15">
        <v>76.64</v>
      </c>
      <c r="AZ34" s="14">
        <v>14.527333131984294</v>
      </c>
      <c r="BA34" s="14">
        <v>22.632747829598223</v>
      </c>
      <c r="BB34" s="15">
        <v>94702</v>
      </c>
      <c r="BC34" s="15">
        <v>666</v>
      </c>
      <c r="BD34" s="15">
        <v>97941</v>
      </c>
      <c r="BE34" s="15">
        <v>125</v>
      </c>
      <c r="BF34" s="15">
        <v>1190</v>
      </c>
      <c r="BG34" s="15">
        <v>1053</v>
      </c>
      <c r="BH34" s="15">
        <v>137</v>
      </c>
      <c r="BI34" s="15">
        <v>3</v>
      </c>
      <c r="BJ34" s="15">
        <v>1505</v>
      </c>
      <c r="BK34" s="15">
        <v>1339</v>
      </c>
      <c r="BL34" s="15">
        <v>162</v>
      </c>
      <c r="BM34" s="15">
        <v>4</v>
      </c>
      <c r="BN34" s="15">
        <v>1199</v>
      </c>
      <c r="BO34" s="15">
        <v>1018</v>
      </c>
      <c r="BP34" s="15">
        <v>173</v>
      </c>
      <c r="BQ34" s="15">
        <v>959</v>
      </c>
      <c r="BR34" s="15">
        <v>735</v>
      </c>
      <c r="BS34" s="15">
        <v>215</v>
      </c>
      <c r="BT34" s="15">
        <v>30</v>
      </c>
      <c r="BU34" s="15">
        <v>1893</v>
      </c>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row>
    <row r="35" spans="1:100" s="13" customFormat="1" x14ac:dyDescent="0.3">
      <c r="A35" s="12">
        <v>32</v>
      </c>
      <c r="B35" s="12" t="s">
        <v>150</v>
      </c>
      <c r="C35" s="12" t="s">
        <v>92</v>
      </c>
      <c r="D35" s="12">
        <v>4</v>
      </c>
      <c r="E35" s="130">
        <v>45645</v>
      </c>
      <c r="F35" s="12">
        <v>3</v>
      </c>
      <c r="G35" s="12">
        <v>0</v>
      </c>
      <c r="H35" s="14">
        <v>3.42</v>
      </c>
      <c r="I35" s="12">
        <v>0</v>
      </c>
      <c r="J35" s="12">
        <v>1</v>
      </c>
      <c r="K35" s="12">
        <v>0</v>
      </c>
      <c r="L35" s="12">
        <v>100000</v>
      </c>
      <c r="M35" s="12">
        <v>13.4</v>
      </c>
      <c r="N35" s="15">
        <f t="shared" si="2"/>
        <v>7462.686567164179</v>
      </c>
      <c r="O35" s="12">
        <v>100000</v>
      </c>
      <c r="P35" s="12">
        <v>11</v>
      </c>
      <c r="Q35" s="15">
        <f t="shared" si="3"/>
        <v>9090.9090909090901</v>
      </c>
      <c r="R35" s="12">
        <v>100000</v>
      </c>
      <c r="S35" s="12">
        <v>11.9</v>
      </c>
      <c r="T35" s="15">
        <f t="shared" si="4"/>
        <v>8403.3613445378141</v>
      </c>
      <c r="U35" s="15">
        <v>4.1368421052631579</v>
      </c>
      <c r="V35" s="15">
        <v>5496.15</v>
      </c>
      <c r="W35" s="15">
        <v>3814.94</v>
      </c>
      <c r="X35" s="14">
        <v>0.03</v>
      </c>
      <c r="Y35" s="14">
        <v>0.03</v>
      </c>
      <c r="Z35" s="14">
        <v>0.03</v>
      </c>
      <c r="AA35" s="15">
        <v>3.1578947368421053</v>
      </c>
      <c r="AB35" s="15">
        <v>1.3333333333333333</v>
      </c>
      <c r="AC35" s="15">
        <v>0.76335877862595414</v>
      </c>
      <c r="AD35" s="14">
        <v>0.7</v>
      </c>
      <c r="AE35" s="14">
        <v>0.95</v>
      </c>
      <c r="AF35" s="14">
        <v>2.25</v>
      </c>
      <c r="AG35" s="14">
        <v>3.93</v>
      </c>
      <c r="AH35" s="14">
        <f t="shared" si="5"/>
        <v>3930</v>
      </c>
      <c r="AI35" s="15">
        <v>8.77</v>
      </c>
      <c r="AJ35" s="15">
        <v>90.85</v>
      </c>
      <c r="AK35" s="15">
        <v>5.15</v>
      </c>
      <c r="AL35" s="15">
        <v>94.56</v>
      </c>
      <c r="AM35" s="15">
        <f t="shared" si="0"/>
        <v>202.39500000000001</v>
      </c>
      <c r="AN35" s="15">
        <f t="shared" si="1"/>
        <v>3716.2080000000001</v>
      </c>
      <c r="AO35" s="14">
        <v>8.8034531218630807</v>
      </c>
      <c r="AP35" s="14">
        <v>5.1649784374686591</v>
      </c>
      <c r="AQ35" s="14"/>
      <c r="AR35" s="14">
        <f t="shared" si="7"/>
        <v>0.47900854858271141</v>
      </c>
      <c r="AS35" s="14">
        <v>0.95</v>
      </c>
      <c r="AT35" s="14">
        <v>2.15</v>
      </c>
      <c r="AU35" s="14">
        <v>3.13</v>
      </c>
      <c r="AV35" s="15">
        <v>11.24</v>
      </c>
      <c r="AW35" s="15">
        <v>88.26</v>
      </c>
      <c r="AX35" s="15">
        <v>7.77</v>
      </c>
      <c r="AY35" s="15">
        <v>91.79</v>
      </c>
      <c r="AZ35" s="14">
        <v>11.296482412060302</v>
      </c>
      <c r="BA35" s="14">
        <v>7.8043390920048212</v>
      </c>
      <c r="BB35" s="15">
        <v>89247</v>
      </c>
      <c r="BC35" s="15">
        <v>607</v>
      </c>
      <c r="BD35" s="15">
        <v>94786</v>
      </c>
      <c r="BE35" s="15">
        <v>27</v>
      </c>
      <c r="BF35" s="15">
        <v>2098</v>
      </c>
      <c r="BG35" s="15">
        <v>1906</v>
      </c>
      <c r="BH35" s="15">
        <v>184</v>
      </c>
      <c r="BI35" s="15">
        <v>13</v>
      </c>
      <c r="BJ35" s="15">
        <v>3692</v>
      </c>
      <c r="BK35" s="15">
        <v>3491</v>
      </c>
      <c r="BL35" s="15">
        <v>190</v>
      </c>
      <c r="BM35" s="15">
        <v>5</v>
      </c>
      <c r="BN35" s="15">
        <v>2001</v>
      </c>
      <c r="BO35" s="15">
        <v>1766</v>
      </c>
      <c r="BP35" s="15">
        <v>225</v>
      </c>
      <c r="BQ35" s="15">
        <v>3141</v>
      </c>
      <c r="BR35" s="15">
        <v>2883</v>
      </c>
      <c r="BS35" s="15">
        <v>244</v>
      </c>
      <c r="BT35" s="15">
        <v>50</v>
      </c>
      <c r="BU35" s="15">
        <v>1463</v>
      </c>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row>
    <row r="36" spans="1:100" s="13" customFormat="1" x14ac:dyDescent="0.3">
      <c r="A36" s="12">
        <v>33</v>
      </c>
      <c r="B36" s="12" t="s">
        <v>150</v>
      </c>
      <c r="C36" s="12" t="s">
        <v>92</v>
      </c>
      <c r="D36" s="12">
        <v>4</v>
      </c>
      <c r="E36" s="130">
        <v>45645</v>
      </c>
      <c r="F36" s="12">
        <v>3</v>
      </c>
      <c r="G36" s="12">
        <v>1</v>
      </c>
      <c r="H36" s="14">
        <v>1.28</v>
      </c>
      <c r="I36" s="12">
        <v>1</v>
      </c>
      <c r="J36" s="12">
        <v>1</v>
      </c>
      <c r="K36" s="12">
        <v>0</v>
      </c>
      <c r="L36" s="12">
        <v>100000</v>
      </c>
      <c r="M36" s="12">
        <v>9.3000000000000007</v>
      </c>
      <c r="N36" s="15">
        <f t="shared" si="2"/>
        <v>10752.68817204301</v>
      </c>
      <c r="O36" s="12">
        <v>100000</v>
      </c>
      <c r="P36" s="12">
        <v>7.6</v>
      </c>
      <c r="Q36" s="15">
        <f t="shared" si="3"/>
        <v>13157.894736842105</v>
      </c>
      <c r="R36" s="12">
        <v>100000</v>
      </c>
      <c r="S36" s="12">
        <v>7.2</v>
      </c>
      <c r="T36" s="15">
        <f t="shared" si="4"/>
        <v>13888.888888888889</v>
      </c>
      <c r="U36" s="15">
        <v>3.9319727891156466</v>
      </c>
      <c r="V36" s="15">
        <v>10153.86</v>
      </c>
      <c r="W36" s="15">
        <v>6650.39</v>
      </c>
      <c r="X36" s="14">
        <v>0.22</v>
      </c>
      <c r="Y36" s="14">
        <v>0.19</v>
      </c>
      <c r="Z36" s="14">
        <v>0.33</v>
      </c>
      <c r="AA36" s="15">
        <v>14.965986394557824</v>
      </c>
      <c r="AB36" s="15">
        <v>4.2792792792792795</v>
      </c>
      <c r="AC36" s="15">
        <v>5.7093425605536332</v>
      </c>
      <c r="AD36" s="14">
        <v>1.1200000000000001</v>
      </c>
      <c r="AE36" s="14">
        <v>1.47</v>
      </c>
      <c r="AF36" s="14">
        <v>4.4400000000000004</v>
      </c>
      <c r="AG36" s="14">
        <v>5.78</v>
      </c>
      <c r="AH36" s="14">
        <f t="shared" si="5"/>
        <v>5780</v>
      </c>
      <c r="AI36" s="15">
        <v>10.32</v>
      </c>
      <c r="AJ36" s="15">
        <v>88.92</v>
      </c>
      <c r="AK36" s="15">
        <v>9.7200000000000006</v>
      </c>
      <c r="AL36" s="15">
        <v>89.32</v>
      </c>
      <c r="AM36" s="15">
        <f t="shared" si="0"/>
        <v>561.81600000000003</v>
      </c>
      <c r="AN36" s="15">
        <f t="shared" si="1"/>
        <v>5162.695999999999</v>
      </c>
      <c r="AO36" s="14">
        <v>10.399032648125756</v>
      </c>
      <c r="AP36" s="14">
        <v>9.814216478190632</v>
      </c>
      <c r="AQ36" s="14"/>
      <c r="AR36" s="14">
        <f t="shared" si="7"/>
        <v>0.91018648918089518</v>
      </c>
      <c r="AS36" s="14">
        <v>1.47</v>
      </c>
      <c r="AT36" s="14">
        <v>3.76</v>
      </c>
      <c r="AU36" s="14">
        <v>4.29</v>
      </c>
      <c r="AV36" s="15">
        <v>18.149999999999999</v>
      </c>
      <c r="AW36" s="15">
        <v>81.03</v>
      </c>
      <c r="AX36" s="15">
        <v>18.52</v>
      </c>
      <c r="AY36" s="15">
        <v>80.319999999999993</v>
      </c>
      <c r="AZ36" s="14">
        <v>18.300060496067751</v>
      </c>
      <c r="BA36" s="14">
        <v>18.737353298259816</v>
      </c>
      <c r="BB36" s="15">
        <v>88236</v>
      </c>
      <c r="BC36" s="15">
        <v>952</v>
      </c>
      <c r="BD36" s="15">
        <v>92568</v>
      </c>
      <c r="BE36" s="15">
        <v>200</v>
      </c>
      <c r="BF36" s="15">
        <v>4042</v>
      </c>
      <c r="BG36" s="15">
        <v>3594</v>
      </c>
      <c r="BH36" s="15">
        <v>417</v>
      </c>
      <c r="BI36" s="15">
        <v>22</v>
      </c>
      <c r="BJ36" s="15">
        <v>5299</v>
      </c>
      <c r="BK36" s="15">
        <v>4733</v>
      </c>
      <c r="BL36" s="15">
        <v>515</v>
      </c>
      <c r="BM36" s="15">
        <v>24</v>
      </c>
      <c r="BN36" s="15">
        <v>3394</v>
      </c>
      <c r="BO36" s="15">
        <v>2750</v>
      </c>
      <c r="BP36" s="15">
        <v>616</v>
      </c>
      <c r="BQ36" s="15">
        <v>4324</v>
      </c>
      <c r="BR36" s="15">
        <v>3473</v>
      </c>
      <c r="BS36" s="15">
        <v>801</v>
      </c>
      <c r="BT36" s="15">
        <v>23</v>
      </c>
      <c r="BU36" s="15">
        <v>1793</v>
      </c>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row>
    <row r="37" spans="1:100" s="13" customFormat="1" x14ac:dyDescent="0.3">
      <c r="A37" s="12">
        <v>34</v>
      </c>
      <c r="B37" s="12" t="s">
        <v>150</v>
      </c>
      <c r="C37" s="12" t="s">
        <v>92</v>
      </c>
      <c r="D37" s="12">
        <v>4</v>
      </c>
      <c r="E37" s="130">
        <v>45645</v>
      </c>
      <c r="F37" s="12">
        <v>3</v>
      </c>
      <c r="G37" s="12">
        <v>0</v>
      </c>
      <c r="H37" s="14">
        <v>3.39</v>
      </c>
      <c r="I37" s="12">
        <v>0</v>
      </c>
      <c r="J37" s="12">
        <v>1</v>
      </c>
      <c r="K37" s="12">
        <v>0</v>
      </c>
      <c r="L37" s="12">
        <v>100000</v>
      </c>
      <c r="M37" s="12">
        <v>7.1</v>
      </c>
      <c r="N37" s="15">
        <f t="shared" si="2"/>
        <v>14084.507042253521</v>
      </c>
      <c r="O37" s="12">
        <v>100000</v>
      </c>
      <c r="P37" s="12">
        <v>6</v>
      </c>
      <c r="Q37" s="15">
        <f t="shared" si="3"/>
        <v>16666.666666666668</v>
      </c>
      <c r="R37" s="12">
        <v>100000</v>
      </c>
      <c r="S37" s="12">
        <v>4.7</v>
      </c>
      <c r="T37" s="15">
        <f>(R37)/(S37)</f>
        <v>21276.59574468085</v>
      </c>
      <c r="U37" s="15">
        <v>4.2718446601941746</v>
      </c>
      <c r="V37" s="15">
        <v>12463.06</v>
      </c>
      <c r="W37" s="15">
        <v>12350.9</v>
      </c>
      <c r="X37" s="14">
        <v>0.2</v>
      </c>
      <c r="Y37" s="14">
        <v>0.24</v>
      </c>
      <c r="Z37" s="14">
        <v>0.49</v>
      </c>
      <c r="AA37" s="15">
        <v>19.417475728155338</v>
      </c>
      <c r="AB37" s="15">
        <v>8.0536912751677843</v>
      </c>
      <c r="AC37" s="15">
        <v>11.136363636363637</v>
      </c>
      <c r="AD37" s="14">
        <v>0.87</v>
      </c>
      <c r="AE37" s="14">
        <v>1.03</v>
      </c>
      <c r="AF37" s="14">
        <v>2.98</v>
      </c>
      <c r="AG37" s="14">
        <v>4.4000000000000004</v>
      </c>
      <c r="AH37" s="14">
        <f t="shared" si="5"/>
        <v>4400</v>
      </c>
      <c r="AI37" s="15">
        <v>8.07</v>
      </c>
      <c r="AJ37" s="15">
        <v>91.67</v>
      </c>
      <c r="AK37" s="15">
        <v>7.55</v>
      </c>
      <c r="AL37" s="15">
        <v>92.13</v>
      </c>
      <c r="AM37" s="15">
        <f t="shared" si="0"/>
        <v>332.2</v>
      </c>
      <c r="AN37" s="15">
        <f t="shared" si="1"/>
        <v>4053.7200000000003</v>
      </c>
      <c r="AO37" s="14">
        <v>8.0910366954080608</v>
      </c>
      <c r="AP37" s="14">
        <v>7.574237560192616</v>
      </c>
      <c r="AQ37" s="14"/>
      <c r="AR37" s="14">
        <f t="shared" si="7"/>
        <v>0.70244718041972232</v>
      </c>
      <c r="AS37" s="14">
        <v>1.03</v>
      </c>
      <c r="AT37" s="14">
        <v>2.2400000000000002</v>
      </c>
      <c r="AU37" s="14">
        <v>2.35</v>
      </c>
      <c r="AV37" s="15">
        <v>19.47</v>
      </c>
      <c r="AW37" s="15">
        <v>80.25</v>
      </c>
      <c r="AX37" s="15">
        <v>21.05</v>
      </c>
      <c r="AY37" s="15">
        <v>78.23</v>
      </c>
      <c r="AZ37" s="14">
        <v>19.524669073405533</v>
      </c>
      <c r="BA37" s="14">
        <v>21.202659145850124</v>
      </c>
      <c r="BB37" s="15">
        <v>92550</v>
      </c>
      <c r="BC37" s="15">
        <v>796</v>
      </c>
      <c r="BD37" s="15"/>
      <c r="BE37" s="15"/>
      <c r="BF37" s="15">
        <v>2774</v>
      </c>
      <c r="BG37" s="15">
        <v>2543</v>
      </c>
      <c r="BH37" s="15">
        <v>224</v>
      </c>
      <c r="BI37" s="15">
        <v>9</v>
      </c>
      <c r="BJ37" s="15">
        <v>4077</v>
      </c>
      <c r="BK37" s="15">
        <v>3756</v>
      </c>
      <c r="BL37" s="15">
        <v>308</v>
      </c>
      <c r="BM37" s="15">
        <v>25</v>
      </c>
      <c r="BN37" s="15">
        <v>2121</v>
      </c>
      <c r="BO37" s="15">
        <v>1702</v>
      </c>
      <c r="BP37" s="15">
        <v>413</v>
      </c>
      <c r="BQ37" s="15">
        <v>2361</v>
      </c>
      <c r="BR37" s="15">
        <v>1847</v>
      </c>
      <c r="BS37" s="15">
        <v>497</v>
      </c>
      <c r="BT37" s="15">
        <v>51</v>
      </c>
      <c r="BU37" s="15">
        <v>1503</v>
      </c>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row>
    <row r="38" spans="1:100" x14ac:dyDescent="0.3">
      <c r="A38" s="12"/>
      <c r="B38" s="12"/>
      <c r="C38" s="12"/>
      <c r="D38" s="12"/>
      <c r="E38" s="12"/>
    </row>
    <row r="39" spans="1:100" x14ac:dyDescent="0.3">
      <c r="A39" s="12"/>
      <c r="B39" s="12"/>
      <c r="C39" s="12"/>
      <c r="D39" s="12"/>
      <c r="E39" s="12"/>
    </row>
    <row r="40" spans="1:100" x14ac:dyDescent="0.3">
      <c r="A40" s="12"/>
      <c r="B40" s="12"/>
      <c r="C40" s="12"/>
      <c r="D40" s="12"/>
      <c r="E40" s="12"/>
    </row>
    <row r="41" spans="1:100" x14ac:dyDescent="0.3">
      <c r="A41" s="12"/>
      <c r="B41" s="12"/>
      <c r="C41" s="12"/>
      <c r="D41" s="12"/>
      <c r="E41" s="12"/>
    </row>
    <row r="42" spans="1:100" x14ac:dyDescent="0.3">
      <c r="A42" s="12"/>
      <c r="B42" s="12"/>
      <c r="C42" s="12"/>
      <c r="D42" s="12"/>
      <c r="E42" s="12"/>
    </row>
    <row r="43" spans="1:100" x14ac:dyDescent="0.3">
      <c r="A43" s="12"/>
      <c r="B43" s="12"/>
      <c r="C43" s="12"/>
      <c r="D43" s="12"/>
      <c r="E43" s="12"/>
    </row>
    <row r="44" spans="1:100" x14ac:dyDescent="0.3">
      <c r="A44" s="12"/>
      <c r="B44" s="12"/>
      <c r="C44" s="12"/>
      <c r="D44" s="12"/>
      <c r="E44" s="12"/>
    </row>
    <row r="45" spans="1:100" x14ac:dyDescent="0.3">
      <c r="A45" s="12"/>
      <c r="B45" s="12"/>
      <c r="C45" s="12"/>
      <c r="D45" s="12"/>
      <c r="E45" s="12"/>
    </row>
  </sheetData>
  <mergeCells count="11">
    <mergeCell ref="AI2:AJ2"/>
    <mergeCell ref="AK2:AL2"/>
    <mergeCell ref="AV2:AW2"/>
    <mergeCell ref="AX2:AY2"/>
    <mergeCell ref="BQ2:BS2"/>
    <mergeCell ref="BT2:BU2"/>
    <mergeCell ref="BB2:BC2"/>
    <mergeCell ref="BD2:BE2"/>
    <mergeCell ref="BF2:BI2"/>
    <mergeCell ref="BJ2:BM2"/>
    <mergeCell ref="BN2:BP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DB1F6-3D46-4FC1-87F7-C6657B7706A7}">
  <sheetPr>
    <tabColor theme="5" tint="0.79998168889431442"/>
  </sheetPr>
  <dimension ref="A1:O42"/>
  <sheetViews>
    <sheetView workbookViewId="0">
      <selection activeCell="N6" sqref="N6"/>
    </sheetView>
  </sheetViews>
  <sheetFormatPr defaultRowHeight="14.4" x14ac:dyDescent="0.3"/>
  <cols>
    <col min="1" max="1" width="44.21875" bestFit="1" customWidth="1"/>
    <col min="2" max="2" width="10.88671875" style="1" bestFit="1" customWidth="1"/>
    <col min="3" max="3" width="9.5546875" style="1" bestFit="1" customWidth="1"/>
    <col min="4" max="4" width="8.88671875" style="1"/>
    <col min="5" max="5" width="9.5546875" style="1" bestFit="1" customWidth="1"/>
    <col min="6" max="8" width="8.88671875" style="1"/>
    <col min="9" max="9" width="9.5546875" style="1" bestFit="1" customWidth="1"/>
    <col min="10" max="15" width="8.88671875" style="1"/>
  </cols>
  <sheetData>
    <row r="1" spans="1:10" x14ac:dyDescent="0.3">
      <c r="A1" s="197" t="s">
        <v>161</v>
      </c>
      <c r="B1" s="197"/>
      <c r="C1" s="197"/>
      <c r="D1" s="197"/>
      <c r="E1" s="197"/>
      <c r="F1" s="197"/>
      <c r="G1" s="197"/>
      <c r="H1" s="197"/>
      <c r="I1" s="197"/>
    </row>
    <row r="2" spans="1:10" x14ac:dyDescent="0.3">
      <c r="A2" s="73" t="s">
        <v>94</v>
      </c>
      <c r="B2" s="1" t="s">
        <v>632</v>
      </c>
      <c r="C2" s="1" t="s">
        <v>632</v>
      </c>
      <c r="D2" s="1" t="s">
        <v>632</v>
      </c>
      <c r="E2" s="1" t="s">
        <v>632</v>
      </c>
      <c r="F2" s="1" t="s">
        <v>633</v>
      </c>
      <c r="G2" s="1" t="s">
        <v>633</v>
      </c>
      <c r="H2" s="1" t="s">
        <v>633</v>
      </c>
      <c r="I2" s="1" t="s">
        <v>633</v>
      </c>
    </row>
    <row r="3" spans="1:10" x14ac:dyDescent="0.3">
      <c r="A3" s="73" t="s">
        <v>19</v>
      </c>
      <c r="B3" s="1">
        <v>1</v>
      </c>
      <c r="C3" s="1">
        <v>2</v>
      </c>
      <c r="D3" s="1">
        <v>3</v>
      </c>
      <c r="E3" s="1">
        <v>4</v>
      </c>
      <c r="F3" s="1">
        <v>12</v>
      </c>
      <c r="G3" s="1">
        <v>13</v>
      </c>
      <c r="H3" s="1">
        <v>10</v>
      </c>
      <c r="I3" s="1">
        <v>11</v>
      </c>
    </row>
    <row r="4" spans="1:10" x14ac:dyDescent="0.3">
      <c r="A4" s="73" t="s">
        <v>86</v>
      </c>
      <c r="B4" s="1" t="s">
        <v>88</v>
      </c>
      <c r="C4" s="1" t="s">
        <v>92</v>
      </c>
      <c r="D4" s="1" t="s">
        <v>92</v>
      </c>
      <c r="E4" s="1" t="s">
        <v>92</v>
      </c>
      <c r="F4" s="1" t="s">
        <v>92</v>
      </c>
      <c r="G4" s="1" t="s">
        <v>92</v>
      </c>
      <c r="H4" s="1" t="s">
        <v>92</v>
      </c>
      <c r="I4" s="1" t="s">
        <v>92</v>
      </c>
    </row>
    <row r="5" spans="1:10" x14ac:dyDescent="0.3">
      <c r="A5" s="73" t="s">
        <v>154</v>
      </c>
      <c r="B5" s="1">
        <v>1</v>
      </c>
      <c r="C5" s="196">
        <v>2</v>
      </c>
      <c r="D5" s="196"/>
      <c r="E5" s="1">
        <v>1</v>
      </c>
      <c r="F5" s="196">
        <v>2</v>
      </c>
      <c r="G5" s="196"/>
      <c r="H5" s="196">
        <v>2</v>
      </c>
      <c r="I5" s="196"/>
    </row>
    <row r="6" spans="1:10" x14ac:dyDescent="0.3">
      <c r="A6" s="78" t="s">
        <v>2</v>
      </c>
      <c r="B6" s="77" t="s">
        <v>147</v>
      </c>
      <c r="C6" s="77" t="s">
        <v>148</v>
      </c>
      <c r="D6" s="77" t="s">
        <v>148</v>
      </c>
      <c r="E6" s="77" t="s">
        <v>149</v>
      </c>
      <c r="F6" s="77" t="s">
        <v>150</v>
      </c>
      <c r="G6" s="77" t="s">
        <v>150</v>
      </c>
      <c r="H6" s="77" t="s">
        <v>151</v>
      </c>
      <c r="I6" s="77" t="s">
        <v>151</v>
      </c>
    </row>
    <row r="7" spans="1:10" x14ac:dyDescent="0.3">
      <c r="A7" s="90" t="s">
        <v>137</v>
      </c>
      <c r="B7" s="86"/>
      <c r="C7" s="86"/>
      <c r="D7" s="86"/>
      <c r="E7" s="86"/>
      <c r="F7" s="86"/>
      <c r="G7" s="86"/>
      <c r="H7" s="86"/>
      <c r="I7" s="86"/>
    </row>
    <row r="8" spans="1:10" x14ac:dyDescent="0.3">
      <c r="A8" s="72" t="s">
        <v>114</v>
      </c>
      <c r="B8" s="1">
        <v>1.35</v>
      </c>
      <c r="C8" s="1">
        <v>2.44</v>
      </c>
      <c r="D8" s="1">
        <v>2.1</v>
      </c>
      <c r="E8" s="1">
        <v>1.93</v>
      </c>
      <c r="F8" s="1">
        <v>0.59</v>
      </c>
      <c r="G8" s="1">
        <v>0.68</v>
      </c>
      <c r="H8" s="1">
        <v>1.1299999999999999</v>
      </c>
      <c r="I8" s="1">
        <v>1.84</v>
      </c>
    </row>
    <row r="9" spans="1:10" x14ac:dyDescent="0.3">
      <c r="A9" s="72" t="s">
        <v>158</v>
      </c>
      <c r="B9" s="1">
        <v>127</v>
      </c>
      <c r="C9" s="1">
        <v>111</v>
      </c>
      <c r="D9" s="1">
        <v>104</v>
      </c>
      <c r="E9" s="1">
        <v>105</v>
      </c>
      <c r="F9" s="1">
        <v>123</v>
      </c>
      <c r="G9" s="1">
        <v>110</v>
      </c>
      <c r="H9" s="74">
        <v>103</v>
      </c>
      <c r="I9" s="74">
        <v>106</v>
      </c>
      <c r="J9" s="85"/>
    </row>
    <row r="10" spans="1:10" x14ac:dyDescent="0.3">
      <c r="A10" s="71" t="s">
        <v>139</v>
      </c>
      <c r="C10" s="74">
        <v>6.3063063063063058</v>
      </c>
      <c r="D10" s="74">
        <v>15.384615384615385</v>
      </c>
      <c r="E10" s="74">
        <v>3.8095238095238098</v>
      </c>
      <c r="H10" s="74"/>
      <c r="I10" s="74"/>
    </row>
    <row r="11" spans="1:10" x14ac:dyDescent="0.3">
      <c r="A11" s="71" t="s">
        <v>140</v>
      </c>
      <c r="C11" s="74"/>
      <c r="D11" s="74"/>
      <c r="E11" s="74"/>
      <c r="G11" s="74"/>
      <c r="H11" s="74"/>
      <c r="I11" s="74"/>
    </row>
    <row r="12" spans="1:10" x14ac:dyDescent="0.3">
      <c r="A12" s="71" t="s">
        <v>141</v>
      </c>
      <c r="C12" s="74">
        <v>9.9099099099099099</v>
      </c>
      <c r="D12" s="74"/>
      <c r="E12" s="74">
        <v>2.8571428571428572</v>
      </c>
      <c r="F12" s="74">
        <v>32.520325203252028</v>
      </c>
      <c r="G12" s="74">
        <v>30</v>
      </c>
      <c r="H12" s="74">
        <v>64.077669902912632</v>
      </c>
      <c r="I12" s="74">
        <v>51.886792452830186</v>
      </c>
    </row>
    <row r="13" spans="1:10" x14ac:dyDescent="0.3">
      <c r="A13" s="71" t="s">
        <v>142</v>
      </c>
      <c r="C13" s="74">
        <v>13.513513513513514</v>
      </c>
      <c r="D13" s="74">
        <v>8.6538461538461533</v>
      </c>
      <c r="E13" s="74">
        <v>0.95238095238095244</v>
      </c>
      <c r="F13" s="74"/>
      <c r="G13" s="74"/>
      <c r="H13" s="74"/>
      <c r="I13" s="74"/>
    </row>
    <row r="14" spans="1:10" x14ac:dyDescent="0.3">
      <c r="A14" s="71" t="s">
        <v>143</v>
      </c>
      <c r="C14" s="74">
        <v>0.90090090090090091</v>
      </c>
      <c r="D14" s="74"/>
      <c r="E14" s="74"/>
      <c r="F14" s="74">
        <v>28.455284552845526</v>
      </c>
      <c r="G14" s="74">
        <v>20</v>
      </c>
      <c r="H14" s="74">
        <v>23.300970873786408</v>
      </c>
      <c r="I14" s="74">
        <v>21.69811320754717</v>
      </c>
    </row>
    <row r="15" spans="1:10" x14ac:dyDescent="0.3">
      <c r="A15" s="71" t="s">
        <v>144</v>
      </c>
      <c r="B15" s="74">
        <v>12.5984251968504</v>
      </c>
      <c r="C15" s="74">
        <v>24.324324324324326</v>
      </c>
      <c r="D15" s="74">
        <v>30.76923076923077</v>
      </c>
      <c r="E15" s="74">
        <v>14.285714285714285</v>
      </c>
      <c r="F15" s="74"/>
      <c r="G15" s="74"/>
      <c r="H15" s="74"/>
      <c r="I15" s="74"/>
    </row>
    <row r="16" spans="1:10" x14ac:dyDescent="0.3">
      <c r="A16" s="71" t="s">
        <v>145</v>
      </c>
      <c r="B16" s="74">
        <v>28.346456692913385</v>
      </c>
      <c r="C16" s="74">
        <v>21.621621621621621</v>
      </c>
      <c r="D16" s="74">
        <v>22.115384615384613</v>
      </c>
      <c r="E16" s="74">
        <v>40</v>
      </c>
      <c r="F16" s="74">
        <v>12.195121951219512</v>
      </c>
      <c r="G16" s="74">
        <v>16.363636363636363</v>
      </c>
      <c r="H16" s="74">
        <v>8.7378640776699026</v>
      </c>
      <c r="I16" s="74">
        <v>6.6037735849056602</v>
      </c>
    </row>
    <row r="17" spans="1:13" x14ac:dyDescent="0.3">
      <c r="A17" s="71" t="s">
        <v>146</v>
      </c>
      <c r="B17" s="74">
        <v>59.055118110236215</v>
      </c>
      <c r="C17" s="74">
        <v>23.423423423423422</v>
      </c>
      <c r="D17" s="74">
        <v>23.076923076923077</v>
      </c>
      <c r="E17" s="74">
        <v>38.095238095238095</v>
      </c>
      <c r="F17" s="74">
        <v>26.829268292682929</v>
      </c>
      <c r="G17" s="74">
        <v>33.636363636363633</v>
      </c>
      <c r="H17" s="74">
        <v>3.8834951456310676</v>
      </c>
      <c r="I17" s="74">
        <v>19.811320754716981</v>
      </c>
      <c r="M17" s="1" t="s">
        <v>155</v>
      </c>
    </row>
    <row r="18" spans="1:13" x14ac:dyDescent="0.3">
      <c r="A18" s="75" t="s">
        <v>138</v>
      </c>
      <c r="B18" s="76">
        <v>100</v>
      </c>
      <c r="C18" s="76">
        <v>100</v>
      </c>
      <c r="D18" s="76">
        <v>100</v>
      </c>
      <c r="E18" s="76">
        <v>100</v>
      </c>
      <c r="F18" s="77">
        <v>99.999999999999986</v>
      </c>
      <c r="G18" s="77">
        <v>100</v>
      </c>
      <c r="H18" s="76">
        <v>100.00000000000001</v>
      </c>
      <c r="I18" s="76">
        <v>100</v>
      </c>
    </row>
    <row r="19" spans="1:13" x14ac:dyDescent="0.3">
      <c r="A19" s="90" t="s">
        <v>152</v>
      </c>
      <c r="B19" s="86"/>
      <c r="C19" s="86"/>
      <c r="D19" s="86"/>
      <c r="E19" s="86"/>
      <c r="F19" s="86"/>
      <c r="G19" s="86"/>
      <c r="H19" s="86"/>
      <c r="I19" s="86"/>
    </row>
    <row r="20" spans="1:13" x14ac:dyDescent="0.3">
      <c r="A20" s="72" t="s">
        <v>123</v>
      </c>
      <c r="B20" s="33">
        <v>7.85</v>
      </c>
      <c r="C20" s="33">
        <v>12.94</v>
      </c>
      <c r="D20" s="33">
        <v>25.56</v>
      </c>
      <c r="E20" s="33">
        <v>20.98</v>
      </c>
      <c r="F20" s="1">
        <v>1.25</v>
      </c>
      <c r="G20" s="1">
        <v>1.47</v>
      </c>
      <c r="H20" s="1">
        <v>0.63</v>
      </c>
      <c r="I20" s="1">
        <v>3.33</v>
      </c>
    </row>
    <row r="21" spans="1:13" x14ac:dyDescent="0.3">
      <c r="A21" s="87" t="s">
        <v>159</v>
      </c>
      <c r="B21" s="74">
        <v>100</v>
      </c>
      <c r="C21" s="74">
        <v>107</v>
      </c>
      <c r="D21" s="74">
        <v>104</v>
      </c>
      <c r="E21" s="74">
        <v>104</v>
      </c>
      <c r="F21" s="1">
        <v>101</v>
      </c>
      <c r="G21" s="1">
        <v>100</v>
      </c>
      <c r="H21" s="1">
        <v>100</v>
      </c>
      <c r="I21" s="1">
        <v>143</v>
      </c>
      <c r="J21" s="85"/>
    </row>
    <row r="22" spans="1:13" x14ac:dyDescent="0.3">
      <c r="A22" s="71" t="s">
        <v>139</v>
      </c>
      <c r="B22" s="74">
        <v>13</v>
      </c>
      <c r="C22" s="74">
        <v>13.084112149532709</v>
      </c>
      <c r="D22" s="74">
        <v>9.6153846153846168</v>
      </c>
      <c r="E22" s="74">
        <v>16.346153846153847</v>
      </c>
    </row>
    <row r="23" spans="1:13" x14ac:dyDescent="0.3">
      <c r="A23" s="71" t="s">
        <v>140</v>
      </c>
      <c r="B23" s="74"/>
      <c r="C23" s="74"/>
      <c r="D23" s="74"/>
      <c r="E23" s="74"/>
      <c r="F23" s="1">
        <v>3</v>
      </c>
      <c r="G23" s="1">
        <v>5</v>
      </c>
      <c r="H23" s="1">
        <v>23</v>
      </c>
      <c r="I23" s="1">
        <v>18</v>
      </c>
    </row>
    <row r="24" spans="1:13" x14ac:dyDescent="0.3">
      <c r="A24" s="71" t="s">
        <v>141</v>
      </c>
      <c r="B24" s="74">
        <v>31</v>
      </c>
      <c r="C24" s="74">
        <v>56.074766355140184</v>
      </c>
      <c r="D24" s="74">
        <v>43.269230769230774</v>
      </c>
      <c r="E24" s="74">
        <v>24.03846153846154</v>
      </c>
      <c r="F24" s="1">
        <v>8</v>
      </c>
      <c r="G24" s="1">
        <v>8</v>
      </c>
      <c r="H24" s="1">
        <v>37</v>
      </c>
      <c r="I24" s="1">
        <v>24</v>
      </c>
    </row>
    <row r="25" spans="1:13" x14ac:dyDescent="0.3">
      <c r="A25" s="71" t="s">
        <v>142</v>
      </c>
      <c r="B25" s="74"/>
      <c r="C25" s="74">
        <v>3.7383177570093453</v>
      </c>
      <c r="D25" s="74">
        <v>3.8461538461538463</v>
      </c>
      <c r="E25" s="74"/>
    </row>
    <row r="26" spans="1:13" x14ac:dyDescent="0.3">
      <c r="A26" s="71" t="s">
        <v>143</v>
      </c>
      <c r="B26" s="74">
        <v>51</v>
      </c>
      <c r="C26" s="74">
        <v>22.429906542056074</v>
      </c>
      <c r="D26" s="74">
        <v>43.269230769230774</v>
      </c>
      <c r="E26" s="74">
        <v>55.769230769230774</v>
      </c>
      <c r="F26" s="1">
        <v>51</v>
      </c>
      <c r="G26" s="1">
        <v>60</v>
      </c>
      <c r="H26" s="1">
        <v>28</v>
      </c>
      <c r="I26" s="1">
        <v>84</v>
      </c>
    </row>
    <row r="27" spans="1:13" x14ac:dyDescent="0.3">
      <c r="A27" s="71" t="s">
        <v>144</v>
      </c>
      <c r="B27" s="74">
        <v>2</v>
      </c>
      <c r="C27" s="74">
        <v>4.6728971962616823</v>
      </c>
      <c r="D27" s="74"/>
      <c r="E27" s="74">
        <v>2.8846153846153846</v>
      </c>
    </row>
    <row r="28" spans="1:13" x14ac:dyDescent="0.3">
      <c r="A28" s="71" t="s">
        <v>145</v>
      </c>
      <c r="B28" s="74">
        <v>2</v>
      </c>
      <c r="C28" s="74"/>
      <c r="D28" s="74"/>
      <c r="E28" s="74">
        <v>0.96153846153846156</v>
      </c>
      <c r="F28" s="1">
        <v>26</v>
      </c>
      <c r="G28" s="1">
        <v>22</v>
      </c>
      <c r="H28" s="1">
        <v>10</v>
      </c>
      <c r="I28" s="1">
        <v>9</v>
      </c>
    </row>
    <row r="29" spans="1:13" x14ac:dyDescent="0.3">
      <c r="A29" s="71" t="s">
        <v>146</v>
      </c>
      <c r="B29" s="74">
        <v>1</v>
      </c>
      <c r="C29" s="74"/>
      <c r="D29" s="74"/>
      <c r="E29" s="74"/>
      <c r="F29" s="1">
        <v>13</v>
      </c>
      <c r="G29" s="1">
        <v>5</v>
      </c>
      <c r="H29" s="1">
        <v>2</v>
      </c>
      <c r="I29" s="1">
        <v>8</v>
      </c>
    </row>
    <row r="30" spans="1:13" x14ac:dyDescent="0.3">
      <c r="A30" s="75" t="s">
        <v>138</v>
      </c>
      <c r="B30" s="76">
        <v>100</v>
      </c>
      <c r="C30" s="76">
        <v>100</v>
      </c>
      <c r="D30" s="76">
        <v>100</v>
      </c>
      <c r="E30" s="76">
        <v>100.00000000000001</v>
      </c>
      <c r="F30" s="77">
        <v>100</v>
      </c>
      <c r="G30" s="77">
        <v>100</v>
      </c>
      <c r="H30" s="77">
        <v>100</v>
      </c>
      <c r="I30" s="77">
        <v>100</v>
      </c>
    </row>
    <row r="31" spans="1:13" x14ac:dyDescent="0.3">
      <c r="A31" s="90" t="s">
        <v>153</v>
      </c>
      <c r="B31" s="86"/>
      <c r="C31" s="86"/>
      <c r="D31" s="86"/>
      <c r="E31" s="86"/>
      <c r="F31" s="86"/>
      <c r="G31" s="86"/>
      <c r="H31" s="86"/>
      <c r="I31" s="86"/>
    </row>
    <row r="32" spans="1:13" x14ac:dyDescent="0.3">
      <c r="A32" s="72" t="s">
        <v>118</v>
      </c>
      <c r="B32" s="33">
        <v>10.23</v>
      </c>
      <c r="C32" s="33">
        <v>28.69</v>
      </c>
      <c r="D32" s="33">
        <v>20.14</v>
      </c>
      <c r="E32" s="33">
        <v>13.89</v>
      </c>
      <c r="F32" s="1">
        <v>2.56</v>
      </c>
      <c r="G32" s="1">
        <v>3.08</v>
      </c>
      <c r="H32" s="79">
        <v>1.07</v>
      </c>
      <c r="I32" s="79">
        <v>5.73</v>
      </c>
    </row>
    <row r="33" spans="1:10" x14ac:dyDescent="0.3">
      <c r="A33" s="72" t="s">
        <v>160</v>
      </c>
      <c r="B33" s="74">
        <v>103</v>
      </c>
      <c r="C33" s="74">
        <v>125</v>
      </c>
      <c r="D33" s="74">
        <v>100</v>
      </c>
      <c r="E33" s="74">
        <v>111</v>
      </c>
      <c r="F33" s="1">
        <v>109</v>
      </c>
      <c r="G33" s="1">
        <v>103</v>
      </c>
      <c r="H33" s="1">
        <v>102</v>
      </c>
      <c r="I33" s="1">
        <v>101</v>
      </c>
      <c r="J33" s="85"/>
    </row>
    <row r="34" spans="1:10" x14ac:dyDescent="0.3">
      <c r="A34" s="71" t="s">
        <v>139</v>
      </c>
      <c r="B34" s="74">
        <v>3.8834951456310676</v>
      </c>
      <c r="C34" s="74">
        <v>12.8</v>
      </c>
      <c r="D34" s="74">
        <v>20</v>
      </c>
      <c r="E34" s="74">
        <v>9.0090090090090094</v>
      </c>
    </row>
    <row r="35" spans="1:10" x14ac:dyDescent="0.3">
      <c r="A35" s="71" t="s">
        <v>140</v>
      </c>
      <c r="B35" s="74"/>
      <c r="C35" s="74"/>
      <c r="D35" s="74"/>
      <c r="E35" s="74"/>
      <c r="F35" s="1">
        <v>18</v>
      </c>
      <c r="G35" s="1">
        <v>17</v>
      </c>
      <c r="H35" s="1">
        <v>38</v>
      </c>
      <c r="I35" s="1">
        <v>27</v>
      </c>
    </row>
    <row r="36" spans="1:10" x14ac:dyDescent="0.3">
      <c r="A36" s="71" t="s">
        <v>141</v>
      </c>
      <c r="B36" s="74"/>
      <c r="C36" s="74">
        <v>7.1999999999999993</v>
      </c>
      <c r="D36" s="74">
        <v>6</v>
      </c>
      <c r="E36" s="74">
        <v>0.90090090090090091</v>
      </c>
      <c r="F36" s="1">
        <v>9</v>
      </c>
      <c r="G36" s="1">
        <v>14</v>
      </c>
      <c r="H36" s="1">
        <v>28</v>
      </c>
      <c r="I36" s="1">
        <v>18</v>
      </c>
    </row>
    <row r="37" spans="1:10" x14ac:dyDescent="0.3">
      <c r="A37" s="71" t="s">
        <v>142</v>
      </c>
      <c r="B37" s="74">
        <v>1.9417475728155338</v>
      </c>
      <c r="C37" s="74">
        <v>15.2</v>
      </c>
      <c r="D37" s="74">
        <v>17</v>
      </c>
      <c r="E37" s="74"/>
    </row>
    <row r="38" spans="1:10" x14ac:dyDescent="0.3">
      <c r="A38" s="71" t="s">
        <v>143</v>
      </c>
      <c r="B38" s="74">
        <v>14.563106796116504</v>
      </c>
      <c r="C38" s="74">
        <v>33.6</v>
      </c>
      <c r="D38" s="74">
        <v>25</v>
      </c>
      <c r="E38" s="74">
        <v>21.621621621621621</v>
      </c>
      <c r="F38" s="1">
        <v>44</v>
      </c>
      <c r="G38" s="1">
        <v>50</v>
      </c>
      <c r="H38" s="1">
        <v>28</v>
      </c>
      <c r="I38" s="1">
        <v>33</v>
      </c>
    </row>
    <row r="39" spans="1:10" x14ac:dyDescent="0.3">
      <c r="A39" s="71" t="s">
        <v>144</v>
      </c>
      <c r="B39" s="74">
        <v>19.417475728155338</v>
      </c>
      <c r="C39" s="74">
        <v>12.8</v>
      </c>
      <c r="D39" s="74">
        <v>7.0000000000000009</v>
      </c>
      <c r="E39" s="74">
        <v>10.810810810810811</v>
      </c>
    </row>
    <row r="40" spans="1:10" x14ac:dyDescent="0.3">
      <c r="A40" s="71" t="s">
        <v>145</v>
      </c>
      <c r="B40" s="74">
        <v>46.601941747572816</v>
      </c>
      <c r="C40" s="74">
        <v>16.8</v>
      </c>
      <c r="D40" s="74">
        <v>20</v>
      </c>
      <c r="E40" s="74">
        <v>36.936936936936938</v>
      </c>
      <c r="F40" s="1">
        <v>15</v>
      </c>
      <c r="G40" s="1">
        <v>9</v>
      </c>
      <c r="H40" s="1">
        <v>4</v>
      </c>
      <c r="I40" s="1">
        <v>7</v>
      </c>
    </row>
    <row r="41" spans="1:10" x14ac:dyDescent="0.3">
      <c r="A41" s="71" t="s">
        <v>146</v>
      </c>
      <c r="B41" s="74">
        <v>13.592233009708737</v>
      </c>
      <c r="C41" s="74">
        <v>1.6</v>
      </c>
      <c r="D41" s="74">
        <v>5</v>
      </c>
      <c r="E41" s="74">
        <v>20.72072072072072</v>
      </c>
      <c r="F41" s="1">
        <v>24</v>
      </c>
      <c r="G41" s="1">
        <v>13</v>
      </c>
      <c r="H41" s="1">
        <v>4</v>
      </c>
      <c r="I41" s="1">
        <v>16</v>
      </c>
    </row>
    <row r="42" spans="1:10" x14ac:dyDescent="0.3">
      <c r="A42" s="75" t="s">
        <v>138</v>
      </c>
      <c r="B42" s="76">
        <v>100</v>
      </c>
      <c r="C42" s="76">
        <v>100</v>
      </c>
      <c r="D42" s="76">
        <v>100</v>
      </c>
      <c r="E42" s="76">
        <v>100</v>
      </c>
      <c r="F42" s="77">
        <v>100</v>
      </c>
      <c r="G42" s="77">
        <v>100</v>
      </c>
      <c r="H42" s="77">
        <v>100</v>
      </c>
      <c r="I42" s="77">
        <v>100</v>
      </c>
    </row>
  </sheetData>
  <mergeCells count="4">
    <mergeCell ref="C5:D5"/>
    <mergeCell ref="F5:G5"/>
    <mergeCell ref="H5:I5"/>
    <mergeCell ref="A1:I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BF2B8-C09F-4B1D-84F0-302EE8B9AEAF}">
  <sheetPr>
    <tabColor theme="5" tint="0.79998168889431442"/>
  </sheetPr>
  <dimension ref="A1:O32"/>
  <sheetViews>
    <sheetView zoomScaleNormal="100" workbookViewId="0"/>
  </sheetViews>
  <sheetFormatPr defaultRowHeight="14.4" x14ac:dyDescent="0.3"/>
  <cols>
    <col min="1" max="1" width="30.109375" customWidth="1"/>
    <col min="3" max="3" width="10.21875" bestFit="1" customWidth="1"/>
    <col min="4" max="4" width="9.5546875" bestFit="1" customWidth="1"/>
    <col min="5" max="5" width="10.21875" bestFit="1" customWidth="1"/>
    <col min="6" max="6" width="9.109375" bestFit="1" customWidth="1"/>
    <col min="7" max="7" width="9.6640625" bestFit="1" customWidth="1"/>
    <col min="8" max="8" width="12.44140625" bestFit="1" customWidth="1"/>
    <col min="9" max="9" width="12.6640625" bestFit="1" customWidth="1"/>
    <col min="11" max="11" width="14.21875" bestFit="1" customWidth="1"/>
    <col min="12" max="12" width="13.109375" customWidth="1"/>
  </cols>
  <sheetData>
    <row r="1" spans="1:15" ht="18" x14ac:dyDescent="0.35">
      <c r="A1" s="107" t="s">
        <v>505</v>
      </c>
      <c r="B1" s="122"/>
      <c r="C1" s="122"/>
      <c r="D1" s="122"/>
      <c r="E1" s="122"/>
      <c r="F1" s="122"/>
      <c r="G1" s="122"/>
      <c r="H1" s="122"/>
    </row>
    <row r="2" spans="1:15" x14ac:dyDescent="0.3">
      <c r="A2" s="72" t="s">
        <v>342</v>
      </c>
      <c r="B2" s="108" t="s">
        <v>343</v>
      </c>
      <c r="C2" s="108" t="s">
        <v>344</v>
      </c>
      <c r="D2" s="108" t="s">
        <v>345</v>
      </c>
      <c r="E2" s="109" t="s">
        <v>346</v>
      </c>
      <c r="F2" s="109" t="s">
        <v>347</v>
      </c>
      <c r="G2" s="109" t="s">
        <v>348</v>
      </c>
      <c r="H2" s="110" t="s">
        <v>349</v>
      </c>
      <c r="I2" s="111" t="s">
        <v>350</v>
      </c>
    </row>
    <row r="3" spans="1:15" x14ac:dyDescent="0.3">
      <c r="A3" s="112" t="s">
        <v>351</v>
      </c>
      <c r="B3" s="113">
        <v>3</v>
      </c>
      <c r="C3" s="113">
        <v>11</v>
      </c>
      <c r="D3" s="113">
        <v>21</v>
      </c>
      <c r="E3" s="113">
        <v>28</v>
      </c>
      <c r="F3" s="113">
        <v>32</v>
      </c>
      <c r="G3" s="113">
        <v>36</v>
      </c>
      <c r="H3" s="113">
        <v>41</v>
      </c>
      <c r="I3" s="113">
        <v>46</v>
      </c>
    </row>
    <row r="4" spans="1:15" x14ac:dyDescent="0.3">
      <c r="A4" s="114" t="s">
        <v>147</v>
      </c>
      <c r="B4" s="100">
        <v>0</v>
      </c>
      <c r="C4" s="100">
        <v>0</v>
      </c>
      <c r="D4" s="100">
        <v>0</v>
      </c>
      <c r="E4" s="115">
        <v>0</v>
      </c>
      <c r="F4" s="115">
        <v>0</v>
      </c>
      <c r="G4" s="115">
        <v>13</v>
      </c>
      <c r="H4" s="116">
        <v>28</v>
      </c>
      <c r="I4" s="117">
        <v>59</v>
      </c>
      <c r="J4">
        <f>SUM(B4:I4)</f>
        <v>100</v>
      </c>
    </row>
    <row r="5" spans="1:15" x14ac:dyDescent="0.3">
      <c r="A5" s="114" t="s">
        <v>149</v>
      </c>
      <c r="B5" s="100">
        <v>4</v>
      </c>
      <c r="C5" s="100">
        <v>0</v>
      </c>
      <c r="D5" s="100">
        <v>3</v>
      </c>
      <c r="E5" s="115">
        <v>1</v>
      </c>
      <c r="F5" s="115">
        <v>0</v>
      </c>
      <c r="G5" s="115">
        <v>14</v>
      </c>
      <c r="H5" s="118">
        <v>40</v>
      </c>
      <c r="I5" s="117">
        <v>38</v>
      </c>
      <c r="J5">
        <f t="shared" ref="J5:J7" si="0">SUM(B5:I5)</f>
        <v>100</v>
      </c>
    </row>
    <row r="6" spans="1:15" x14ac:dyDescent="0.3">
      <c r="A6" s="114" t="s">
        <v>148</v>
      </c>
      <c r="B6" s="100">
        <v>10</v>
      </c>
      <c r="C6" s="100">
        <v>0</v>
      </c>
      <c r="D6" s="100">
        <v>10</v>
      </c>
      <c r="E6" s="115">
        <v>11</v>
      </c>
      <c r="F6" s="115">
        <v>1</v>
      </c>
      <c r="G6" s="115">
        <v>26</v>
      </c>
      <c r="H6" s="116">
        <v>20</v>
      </c>
      <c r="I6" s="117">
        <v>22</v>
      </c>
      <c r="J6">
        <f t="shared" si="0"/>
        <v>100</v>
      </c>
    </row>
    <row r="7" spans="1:15" x14ac:dyDescent="0.3">
      <c r="A7" s="114" t="s">
        <v>150</v>
      </c>
      <c r="B7" s="100">
        <v>0</v>
      </c>
      <c r="C7" s="100">
        <v>0</v>
      </c>
      <c r="D7" s="100">
        <v>32</v>
      </c>
      <c r="E7" s="115">
        <v>0</v>
      </c>
      <c r="F7" s="115">
        <v>24</v>
      </c>
      <c r="G7" s="115">
        <v>0</v>
      </c>
      <c r="H7" s="116">
        <v>14</v>
      </c>
      <c r="I7" s="117">
        <v>30</v>
      </c>
      <c r="J7">
        <f t="shared" si="0"/>
        <v>100</v>
      </c>
    </row>
    <row r="8" spans="1:15" x14ac:dyDescent="0.3">
      <c r="A8" s="114" t="s">
        <v>151</v>
      </c>
      <c r="B8" s="100">
        <v>0</v>
      </c>
      <c r="C8" s="100">
        <v>0</v>
      </c>
      <c r="D8" s="100">
        <v>58</v>
      </c>
      <c r="E8" s="115">
        <v>0</v>
      </c>
      <c r="F8" s="115">
        <v>22</v>
      </c>
      <c r="G8" s="115">
        <v>0</v>
      </c>
      <c r="H8" s="116">
        <v>8</v>
      </c>
      <c r="I8" s="117">
        <v>12</v>
      </c>
      <c r="J8">
        <f>SUM(B8:I8)</f>
        <v>100</v>
      </c>
    </row>
    <row r="9" spans="1:15" x14ac:dyDescent="0.3">
      <c r="B9" s="100"/>
      <c r="C9" s="100"/>
      <c r="D9" s="100"/>
      <c r="E9" s="115"/>
      <c r="F9" s="115"/>
      <c r="G9" s="115"/>
      <c r="H9" s="116"/>
      <c r="I9" s="117"/>
    </row>
    <row r="10" spans="1:15" x14ac:dyDescent="0.3">
      <c r="A10" s="72" t="s">
        <v>4</v>
      </c>
      <c r="B10" s="108" t="s">
        <v>343</v>
      </c>
      <c r="C10" s="108" t="s">
        <v>344</v>
      </c>
      <c r="D10" s="108" t="s">
        <v>345</v>
      </c>
      <c r="E10" s="109" t="s">
        <v>346</v>
      </c>
      <c r="F10" s="109" t="s">
        <v>347</v>
      </c>
      <c r="G10" s="109" t="s">
        <v>348</v>
      </c>
      <c r="H10" s="110" t="s">
        <v>349</v>
      </c>
      <c r="I10" s="111" t="s">
        <v>350</v>
      </c>
      <c r="J10" s="119" t="s">
        <v>352</v>
      </c>
      <c r="K10" s="119" t="s">
        <v>353</v>
      </c>
      <c r="L10" s="120" t="s">
        <v>354</v>
      </c>
      <c r="M10" s="72" t="s">
        <v>355</v>
      </c>
    </row>
    <row r="11" spans="1:15" x14ac:dyDescent="0.3">
      <c r="A11" s="114" t="s">
        <v>147</v>
      </c>
      <c r="B11" s="100">
        <f>B$3*B4</f>
        <v>0</v>
      </c>
      <c r="C11" s="100">
        <f t="shared" ref="C11:I12" si="1">C$3*C4</f>
        <v>0</v>
      </c>
      <c r="D11" s="100">
        <f t="shared" si="1"/>
        <v>0</v>
      </c>
      <c r="E11" s="115">
        <f t="shared" si="1"/>
        <v>0</v>
      </c>
      <c r="F11" s="115">
        <f t="shared" si="1"/>
        <v>0</v>
      </c>
      <c r="G11" s="115">
        <f>G$3*G4</f>
        <v>468</v>
      </c>
      <c r="H11" s="116">
        <f t="shared" si="1"/>
        <v>1148</v>
      </c>
      <c r="I11" s="117">
        <f t="shared" si="1"/>
        <v>2714</v>
      </c>
      <c r="J11" s="121">
        <f>SUM(B11:I11)/SUM(B4:I4)</f>
        <v>43.3</v>
      </c>
      <c r="K11" s="122"/>
      <c r="L11" s="123">
        <f>44-J11</f>
        <v>0.70000000000000284</v>
      </c>
      <c r="M11" s="124">
        <f>J11-'ivSCAs-DelayAge_35-40hpi_G1'!J11</f>
        <v>5.68</v>
      </c>
    </row>
    <row r="12" spans="1:15" x14ac:dyDescent="0.3">
      <c r="A12" s="114" t="s">
        <v>149</v>
      </c>
      <c r="B12" s="100">
        <f>B$3*B5</f>
        <v>12</v>
      </c>
      <c r="C12" s="100">
        <f t="shared" si="1"/>
        <v>0</v>
      </c>
      <c r="D12" s="100">
        <f t="shared" si="1"/>
        <v>63</v>
      </c>
      <c r="E12" s="115">
        <f t="shared" si="1"/>
        <v>28</v>
      </c>
      <c r="F12" s="115">
        <f t="shared" si="1"/>
        <v>0</v>
      </c>
      <c r="G12" s="115">
        <f t="shared" si="1"/>
        <v>504</v>
      </c>
      <c r="H12" s="116">
        <f t="shared" si="1"/>
        <v>1640</v>
      </c>
      <c r="I12" s="117">
        <f t="shared" si="1"/>
        <v>1748</v>
      </c>
      <c r="J12" s="121">
        <f t="shared" ref="J12:J15" si="2">SUM(B12:I12)/SUM(B5:I5)</f>
        <v>39.950000000000003</v>
      </c>
      <c r="K12" s="121">
        <f>J$11-J12</f>
        <v>3.3499999999999943</v>
      </c>
      <c r="L12" s="123">
        <f>44-J12</f>
        <v>4.0499999999999972</v>
      </c>
      <c r="M12" s="124">
        <f>J12-'ivSCAs-DelayAge_35-40hpi_G1'!J12</f>
        <v>3.9600000000000009</v>
      </c>
    </row>
    <row r="13" spans="1:15" x14ac:dyDescent="0.3">
      <c r="A13" s="114" t="s">
        <v>148</v>
      </c>
      <c r="B13" s="100">
        <f t="shared" ref="B13:I15" si="3">B$3*B6</f>
        <v>30</v>
      </c>
      <c r="C13" s="100">
        <f t="shared" si="3"/>
        <v>0</v>
      </c>
      <c r="D13" s="100">
        <f t="shared" si="3"/>
        <v>210</v>
      </c>
      <c r="E13" s="115">
        <f t="shared" si="3"/>
        <v>308</v>
      </c>
      <c r="F13" s="115">
        <f t="shared" si="3"/>
        <v>32</v>
      </c>
      <c r="G13" s="115">
        <f t="shared" si="3"/>
        <v>936</v>
      </c>
      <c r="H13" s="116">
        <f t="shared" si="3"/>
        <v>820</v>
      </c>
      <c r="I13" s="117">
        <f t="shared" si="3"/>
        <v>1012</v>
      </c>
      <c r="J13" s="121">
        <f t="shared" si="2"/>
        <v>33.479999999999997</v>
      </c>
      <c r="K13" s="121">
        <f>J$11-J13</f>
        <v>9.82</v>
      </c>
      <c r="L13" s="123">
        <f t="shared" ref="L13:L15" si="4">44-J13</f>
        <v>10.520000000000003</v>
      </c>
      <c r="M13" s="124">
        <f>J13-'ivSCAs-DelayAge_35-40hpi_G1'!J13</f>
        <v>4.9499999999999957</v>
      </c>
    </row>
    <row r="14" spans="1:15" x14ac:dyDescent="0.3">
      <c r="A14" s="114" t="s">
        <v>150</v>
      </c>
      <c r="B14" s="100">
        <f t="shared" si="3"/>
        <v>0</v>
      </c>
      <c r="C14" s="100">
        <f t="shared" si="3"/>
        <v>0</v>
      </c>
      <c r="D14" s="100">
        <f t="shared" si="3"/>
        <v>672</v>
      </c>
      <c r="E14" s="115">
        <f t="shared" si="3"/>
        <v>0</v>
      </c>
      <c r="F14" s="115">
        <f t="shared" si="3"/>
        <v>768</v>
      </c>
      <c r="G14" s="115">
        <f t="shared" si="3"/>
        <v>0</v>
      </c>
      <c r="H14" s="116">
        <f t="shared" si="3"/>
        <v>574</v>
      </c>
      <c r="I14" s="117">
        <f t="shared" si="3"/>
        <v>1380</v>
      </c>
      <c r="J14" s="121">
        <f t="shared" si="2"/>
        <v>33.94</v>
      </c>
      <c r="K14" s="121">
        <f t="shared" ref="K14:K15" si="5">J$11-J14</f>
        <v>9.36</v>
      </c>
      <c r="L14" s="123">
        <f t="shared" si="4"/>
        <v>10.060000000000002</v>
      </c>
      <c r="M14" s="124">
        <f>J14-'ivSCAs-DelayAge_35-40hpi_G1'!J14</f>
        <v>2.9999999999999964</v>
      </c>
    </row>
    <row r="15" spans="1:15" x14ac:dyDescent="0.3">
      <c r="A15" s="114" t="s">
        <v>151</v>
      </c>
      <c r="B15" s="100">
        <f t="shared" si="3"/>
        <v>0</v>
      </c>
      <c r="C15" s="100">
        <f t="shared" si="3"/>
        <v>0</v>
      </c>
      <c r="D15" s="100">
        <f t="shared" si="3"/>
        <v>1218</v>
      </c>
      <c r="E15" s="115">
        <f t="shared" si="3"/>
        <v>0</v>
      </c>
      <c r="F15" s="115">
        <f t="shared" si="3"/>
        <v>704</v>
      </c>
      <c r="G15" s="115">
        <f t="shared" si="3"/>
        <v>0</v>
      </c>
      <c r="H15" s="116">
        <f t="shared" si="3"/>
        <v>328</v>
      </c>
      <c r="I15" s="117">
        <f t="shared" si="3"/>
        <v>552</v>
      </c>
      <c r="J15" s="121">
        <f t="shared" si="2"/>
        <v>28.02</v>
      </c>
      <c r="K15" s="121">
        <f t="shared" si="5"/>
        <v>15.279999999999998</v>
      </c>
      <c r="L15" s="123">
        <f t="shared" si="4"/>
        <v>15.98</v>
      </c>
      <c r="M15" s="124">
        <f>J15-'ivSCAs-DelayAge_35-40hpi_G1'!J15</f>
        <v>3.1699999999999982</v>
      </c>
    </row>
    <row r="16" spans="1:15" x14ac:dyDescent="0.3">
      <c r="B16" s="100"/>
      <c r="C16" s="100"/>
      <c r="D16" s="100"/>
      <c r="E16" s="115"/>
      <c r="F16" s="115"/>
      <c r="G16" s="115"/>
      <c r="H16" s="116"/>
      <c r="I16" s="117"/>
      <c r="L16" s="125" t="s">
        <v>356</v>
      </c>
      <c r="M16" s="125"/>
      <c r="N16" s="125"/>
      <c r="O16" s="125"/>
    </row>
    <row r="17" spans="1:12" x14ac:dyDescent="0.3">
      <c r="A17" s="72" t="s">
        <v>454</v>
      </c>
      <c r="B17" s="100" t="s">
        <v>343</v>
      </c>
      <c r="C17" s="100" t="s">
        <v>344</v>
      </c>
      <c r="D17" s="100" t="s">
        <v>345</v>
      </c>
      <c r="E17" s="115" t="s">
        <v>346</v>
      </c>
      <c r="F17" s="115" t="s">
        <v>347</v>
      </c>
      <c r="G17" s="115" t="s">
        <v>348</v>
      </c>
      <c r="H17" s="116" t="s">
        <v>349</v>
      </c>
      <c r="I17" s="117" t="s">
        <v>350</v>
      </c>
      <c r="L17" t="s">
        <v>358</v>
      </c>
    </row>
    <row r="18" spans="1:12" x14ac:dyDescent="0.3">
      <c r="A18" t="s">
        <v>149</v>
      </c>
      <c r="B18" s="100">
        <f>B$4-B5</f>
        <v>-4</v>
      </c>
      <c r="C18" s="100">
        <f t="shared" ref="B18:I21" si="6">C$4-C5</f>
        <v>0</v>
      </c>
      <c r="D18" s="100">
        <f t="shared" si="6"/>
        <v>-3</v>
      </c>
      <c r="E18" s="115">
        <f t="shared" si="6"/>
        <v>-1</v>
      </c>
      <c r="F18" s="115">
        <f t="shared" si="6"/>
        <v>0</v>
      </c>
      <c r="G18" s="115">
        <f t="shared" si="6"/>
        <v>-1</v>
      </c>
      <c r="H18" s="116">
        <f t="shared" si="6"/>
        <v>-12</v>
      </c>
      <c r="I18" s="117">
        <f t="shared" si="6"/>
        <v>21</v>
      </c>
    </row>
    <row r="19" spans="1:12" x14ac:dyDescent="0.3">
      <c r="A19" t="s">
        <v>148</v>
      </c>
      <c r="B19" s="100">
        <f t="shared" si="6"/>
        <v>-10</v>
      </c>
      <c r="C19" s="100">
        <f t="shared" si="6"/>
        <v>0</v>
      </c>
      <c r="D19" s="100">
        <f t="shared" si="6"/>
        <v>-10</v>
      </c>
      <c r="E19" s="115">
        <f t="shared" si="6"/>
        <v>-11</v>
      </c>
      <c r="F19" s="115">
        <f t="shared" si="6"/>
        <v>-1</v>
      </c>
      <c r="G19" s="115">
        <f t="shared" si="6"/>
        <v>-13</v>
      </c>
      <c r="H19" s="116">
        <f t="shared" si="6"/>
        <v>8</v>
      </c>
      <c r="I19" s="117">
        <f t="shared" si="6"/>
        <v>37</v>
      </c>
    </row>
    <row r="20" spans="1:12" x14ac:dyDescent="0.3">
      <c r="A20" t="s">
        <v>150</v>
      </c>
      <c r="B20" s="100">
        <f t="shared" si="6"/>
        <v>0</v>
      </c>
      <c r="C20" s="100">
        <f t="shared" si="6"/>
        <v>0</v>
      </c>
      <c r="D20" s="100">
        <f t="shared" si="6"/>
        <v>-32</v>
      </c>
      <c r="E20" s="115">
        <f t="shared" si="6"/>
        <v>0</v>
      </c>
      <c r="F20" s="115">
        <f t="shared" si="6"/>
        <v>-24</v>
      </c>
      <c r="G20" s="115">
        <f t="shared" si="6"/>
        <v>13</v>
      </c>
      <c r="H20" s="116">
        <f t="shared" si="6"/>
        <v>14</v>
      </c>
      <c r="I20" s="117">
        <f t="shared" si="6"/>
        <v>29</v>
      </c>
    </row>
    <row r="21" spans="1:12" x14ac:dyDescent="0.3">
      <c r="A21" t="s">
        <v>151</v>
      </c>
      <c r="B21" s="100">
        <f t="shared" si="6"/>
        <v>0</v>
      </c>
      <c r="C21" s="100">
        <f t="shared" si="6"/>
        <v>0</v>
      </c>
      <c r="D21" s="100">
        <f t="shared" si="6"/>
        <v>-58</v>
      </c>
      <c r="E21" s="115">
        <f t="shared" si="6"/>
        <v>0</v>
      </c>
      <c r="F21" s="115">
        <f t="shared" si="6"/>
        <v>-22</v>
      </c>
      <c r="G21" s="115">
        <f t="shared" si="6"/>
        <v>13</v>
      </c>
      <c r="H21" s="116">
        <f t="shared" si="6"/>
        <v>20</v>
      </c>
      <c r="I21" s="117">
        <f t="shared" si="6"/>
        <v>47</v>
      </c>
    </row>
    <row r="23" spans="1:12" x14ac:dyDescent="0.3">
      <c r="A23" s="72" t="s">
        <v>359</v>
      </c>
      <c r="B23" s="202" t="s">
        <v>360</v>
      </c>
      <c r="C23" s="202"/>
      <c r="D23" s="202"/>
      <c r="E23" s="203" t="s">
        <v>361</v>
      </c>
      <c r="F23" s="203"/>
      <c r="G23" s="203"/>
      <c r="H23" s="204" t="s">
        <v>362</v>
      </c>
      <c r="I23" s="204"/>
    </row>
    <row r="24" spans="1:12" x14ac:dyDescent="0.3">
      <c r="A24" t="s">
        <v>149</v>
      </c>
      <c r="B24" s="198">
        <f>SUM(B18:D18)</f>
        <v>-7</v>
      </c>
      <c r="C24" s="198"/>
      <c r="D24" s="198"/>
      <c r="E24" s="199">
        <f>SUM(E18:G18)</f>
        <v>-2</v>
      </c>
      <c r="F24" s="199"/>
      <c r="G24" s="199"/>
      <c r="H24" s="200">
        <f>SUM(H18:I18)</f>
        <v>9</v>
      </c>
      <c r="I24" s="200"/>
    </row>
    <row r="25" spans="1:12" x14ac:dyDescent="0.3">
      <c r="A25" t="s">
        <v>148</v>
      </c>
      <c r="B25" s="198">
        <f t="shared" ref="B25:B27" si="7">SUM(B19:D19)</f>
        <v>-20</v>
      </c>
      <c r="C25" s="198"/>
      <c r="D25" s="198"/>
      <c r="E25" s="199">
        <f t="shared" ref="E25:E27" si="8">SUM(E19:G19)</f>
        <v>-25</v>
      </c>
      <c r="F25" s="199"/>
      <c r="G25" s="199"/>
      <c r="H25" s="200">
        <f t="shared" ref="H25:H27" si="9">SUM(H19:I19)</f>
        <v>45</v>
      </c>
      <c r="I25" s="200"/>
    </row>
    <row r="26" spans="1:12" x14ac:dyDescent="0.3">
      <c r="A26" t="s">
        <v>150</v>
      </c>
      <c r="B26" s="198">
        <f t="shared" si="7"/>
        <v>-32</v>
      </c>
      <c r="C26" s="198"/>
      <c r="D26" s="198"/>
      <c r="E26" s="199">
        <f t="shared" si="8"/>
        <v>-11</v>
      </c>
      <c r="F26" s="199"/>
      <c r="G26" s="199"/>
      <c r="H26" s="200">
        <f t="shared" si="9"/>
        <v>43</v>
      </c>
      <c r="I26" s="200"/>
    </row>
    <row r="27" spans="1:12" x14ac:dyDescent="0.3">
      <c r="A27" t="s">
        <v>151</v>
      </c>
      <c r="B27" s="198">
        <f t="shared" si="7"/>
        <v>-58</v>
      </c>
      <c r="C27" s="198"/>
      <c r="D27" s="198"/>
      <c r="E27" s="199">
        <f t="shared" si="8"/>
        <v>-9</v>
      </c>
      <c r="F27" s="199"/>
      <c r="G27" s="199"/>
      <c r="H27" s="200">
        <f t="shared" si="9"/>
        <v>67</v>
      </c>
      <c r="I27" s="200"/>
    </row>
    <row r="28" spans="1:12" x14ac:dyDescent="0.3">
      <c r="A28" s="116" t="s">
        <v>363</v>
      </c>
      <c r="B28" s="201">
        <f>SUM(B4:D4)</f>
        <v>0</v>
      </c>
      <c r="C28" s="201"/>
      <c r="D28" s="201"/>
      <c r="E28" s="201">
        <f>SUM(E4:G4)</f>
        <v>13</v>
      </c>
      <c r="F28" s="201"/>
      <c r="G28" s="201"/>
      <c r="H28" s="201">
        <f>SUM(H4:I4)</f>
        <v>87</v>
      </c>
      <c r="I28" s="201"/>
      <c r="J28" t="s">
        <v>364</v>
      </c>
    </row>
    <row r="30" spans="1:12" x14ac:dyDescent="0.3">
      <c r="E30" s="114" t="s">
        <v>365</v>
      </c>
      <c r="F30" s="134" t="s">
        <v>455</v>
      </c>
      <c r="G30" s="72"/>
      <c r="H30" s="72"/>
    </row>
    <row r="31" spans="1:12" x14ac:dyDescent="0.3">
      <c r="F31" s="126" t="s">
        <v>366</v>
      </c>
    </row>
    <row r="32" spans="1:12" x14ac:dyDescent="0.3">
      <c r="F32" s="126" t="s">
        <v>367</v>
      </c>
    </row>
  </sheetData>
  <mergeCells count="18">
    <mergeCell ref="B23:D23"/>
    <mergeCell ref="E23:G23"/>
    <mergeCell ref="H23:I23"/>
    <mergeCell ref="B24:D24"/>
    <mergeCell ref="E24:G24"/>
    <mergeCell ref="H24:I24"/>
    <mergeCell ref="B25:D25"/>
    <mergeCell ref="E25:G25"/>
    <mergeCell ref="H25:I25"/>
    <mergeCell ref="B26:D26"/>
    <mergeCell ref="E26:G26"/>
    <mergeCell ref="H26:I26"/>
    <mergeCell ref="B27:D27"/>
    <mergeCell ref="E27:G27"/>
    <mergeCell ref="H27:I27"/>
    <mergeCell ref="B28:D28"/>
    <mergeCell ref="E28:G28"/>
    <mergeCell ref="H28:I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01BA3-70E8-4A89-82EE-8AE1D3C36439}">
  <sheetPr>
    <tabColor theme="5" tint="0.79998168889431442"/>
  </sheetPr>
  <dimension ref="A1:K31"/>
  <sheetViews>
    <sheetView zoomScaleNormal="100" workbookViewId="0"/>
  </sheetViews>
  <sheetFormatPr defaultRowHeight="14.4" x14ac:dyDescent="0.3"/>
  <cols>
    <col min="1" max="1" width="27.6640625" bestFit="1" customWidth="1"/>
    <col min="3" max="3" width="10.21875" bestFit="1" customWidth="1"/>
    <col min="4" max="4" width="9.5546875" bestFit="1" customWidth="1"/>
    <col min="5" max="5" width="10.21875" bestFit="1" customWidth="1"/>
    <col min="6" max="6" width="9.109375" bestFit="1" customWidth="1"/>
    <col min="7" max="7" width="9.6640625" bestFit="1" customWidth="1"/>
    <col min="8" max="8" width="12.44140625" bestFit="1" customWidth="1"/>
    <col min="9" max="9" width="12.6640625" bestFit="1" customWidth="1"/>
    <col min="11" max="11" width="14.21875" bestFit="1" customWidth="1"/>
  </cols>
  <sheetData>
    <row r="1" spans="1:11" ht="18" x14ac:dyDescent="0.35">
      <c r="A1" s="107" t="s">
        <v>506</v>
      </c>
      <c r="B1" s="122"/>
      <c r="C1" s="122"/>
      <c r="D1" s="122"/>
      <c r="E1" s="122"/>
      <c r="F1" s="122"/>
      <c r="G1" s="122"/>
      <c r="H1" s="122"/>
    </row>
    <row r="2" spans="1:11" x14ac:dyDescent="0.3">
      <c r="A2" s="72" t="s">
        <v>342</v>
      </c>
      <c r="B2" s="108" t="s">
        <v>343</v>
      </c>
      <c r="C2" s="108" t="s">
        <v>344</v>
      </c>
      <c r="D2" s="108" t="s">
        <v>345</v>
      </c>
      <c r="E2" s="109" t="s">
        <v>346</v>
      </c>
      <c r="F2" s="109" t="s">
        <v>347</v>
      </c>
      <c r="G2" s="109" t="s">
        <v>348</v>
      </c>
      <c r="H2" s="110" t="s">
        <v>349</v>
      </c>
      <c r="I2" s="111" t="s">
        <v>350</v>
      </c>
    </row>
    <row r="3" spans="1:11" x14ac:dyDescent="0.3">
      <c r="A3" s="112" t="s">
        <v>351</v>
      </c>
      <c r="B3" s="113">
        <v>3</v>
      </c>
      <c r="C3" s="113">
        <v>11</v>
      </c>
      <c r="D3" s="113">
        <v>21</v>
      </c>
      <c r="E3" s="113">
        <v>28</v>
      </c>
      <c r="F3" s="113">
        <v>32</v>
      </c>
      <c r="G3" s="113">
        <v>36</v>
      </c>
      <c r="H3" s="113">
        <v>41</v>
      </c>
      <c r="I3" s="113">
        <v>46</v>
      </c>
    </row>
    <row r="4" spans="1:11" x14ac:dyDescent="0.3">
      <c r="A4" s="114" t="s">
        <v>147</v>
      </c>
      <c r="B4" s="100">
        <v>4</v>
      </c>
      <c r="C4" s="100">
        <v>0</v>
      </c>
      <c r="D4" s="100">
        <v>0</v>
      </c>
      <c r="E4" s="115">
        <v>2</v>
      </c>
      <c r="F4" s="115">
        <v>15</v>
      </c>
      <c r="G4" s="115">
        <v>19</v>
      </c>
      <c r="H4" s="116">
        <v>46</v>
      </c>
      <c r="I4" s="117">
        <v>14</v>
      </c>
      <c r="J4">
        <f>SUM(B4:I4)</f>
        <v>100</v>
      </c>
    </row>
    <row r="5" spans="1:11" x14ac:dyDescent="0.3">
      <c r="A5" s="114" t="s">
        <v>149</v>
      </c>
      <c r="B5" s="100">
        <v>9</v>
      </c>
      <c r="C5" s="100">
        <v>0</v>
      </c>
      <c r="D5" s="100">
        <v>1</v>
      </c>
      <c r="E5" s="115">
        <v>0</v>
      </c>
      <c r="F5" s="115">
        <v>21</v>
      </c>
      <c r="G5" s="115">
        <v>11</v>
      </c>
      <c r="H5" s="118">
        <v>37</v>
      </c>
      <c r="I5" s="117">
        <v>21</v>
      </c>
      <c r="J5">
        <f t="shared" ref="J5:J8" si="0">SUM(B5:I5)</f>
        <v>100</v>
      </c>
    </row>
    <row r="6" spans="1:11" x14ac:dyDescent="0.3">
      <c r="A6" s="114" t="s">
        <v>148</v>
      </c>
      <c r="B6" s="100">
        <v>16</v>
      </c>
      <c r="C6" s="100">
        <v>0</v>
      </c>
      <c r="D6" s="100">
        <v>7</v>
      </c>
      <c r="E6" s="115">
        <v>16</v>
      </c>
      <c r="F6" s="115">
        <v>29</v>
      </c>
      <c r="G6" s="115">
        <v>10</v>
      </c>
      <c r="H6" s="116">
        <v>18</v>
      </c>
      <c r="I6" s="117">
        <v>4</v>
      </c>
      <c r="J6">
        <f t="shared" si="0"/>
        <v>100</v>
      </c>
    </row>
    <row r="7" spans="1:11" x14ac:dyDescent="0.3">
      <c r="A7" s="114" t="s">
        <v>150</v>
      </c>
      <c r="B7" s="100">
        <v>0</v>
      </c>
      <c r="C7" s="100">
        <v>16</v>
      </c>
      <c r="D7" s="100">
        <v>11</v>
      </c>
      <c r="E7" s="115">
        <v>0</v>
      </c>
      <c r="F7" s="115">
        <v>44</v>
      </c>
      <c r="G7" s="115">
        <v>0</v>
      </c>
      <c r="H7" s="116">
        <v>11</v>
      </c>
      <c r="I7" s="117">
        <v>18</v>
      </c>
      <c r="J7">
        <f t="shared" si="0"/>
        <v>100</v>
      </c>
    </row>
    <row r="8" spans="1:11" x14ac:dyDescent="0.3">
      <c r="A8" s="114" t="s">
        <v>151</v>
      </c>
      <c r="B8" s="100">
        <v>0</v>
      </c>
      <c r="C8" s="100">
        <v>32</v>
      </c>
      <c r="D8" s="100">
        <v>22</v>
      </c>
      <c r="E8" s="115">
        <v>0</v>
      </c>
      <c r="F8" s="115">
        <v>30</v>
      </c>
      <c r="G8" s="115">
        <v>0</v>
      </c>
      <c r="H8" s="116">
        <v>5</v>
      </c>
      <c r="I8" s="117">
        <v>11</v>
      </c>
      <c r="J8">
        <f t="shared" si="0"/>
        <v>100</v>
      </c>
    </row>
    <row r="9" spans="1:11" x14ac:dyDescent="0.3">
      <c r="B9" s="100"/>
      <c r="C9" s="100"/>
      <c r="D9" s="100"/>
      <c r="E9" s="115"/>
      <c r="F9" s="115"/>
      <c r="G9" s="115"/>
      <c r="H9" s="116"/>
      <c r="I9" s="117"/>
    </row>
    <row r="10" spans="1:11" x14ac:dyDescent="0.3">
      <c r="A10" s="72" t="s">
        <v>4</v>
      </c>
      <c r="B10" s="108" t="s">
        <v>343</v>
      </c>
      <c r="C10" s="108" t="s">
        <v>344</v>
      </c>
      <c r="D10" s="108" t="s">
        <v>345</v>
      </c>
      <c r="E10" s="109" t="s">
        <v>346</v>
      </c>
      <c r="F10" s="109" t="s">
        <v>347</v>
      </c>
      <c r="G10" s="109" t="s">
        <v>348</v>
      </c>
      <c r="H10" s="110" t="s">
        <v>349</v>
      </c>
      <c r="I10" s="111" t="s">
        <v>350</v>
      </c>
      <c r="J10" s="119" t="s">
        <v>352</v>
      </c>
      <c r="K10" s="119" t="s">
        <v>353</v>
      </c>
    </row>
    <row r="11" spans="1:11" x14ac:dyDescent="0.3">
      <c r="A11" s="114" t="s">
        <v>147</v>
      </c>
      <c r="B11" s="100">
        <f>B$3*B4</f>
        <v>12</v>
      </c>
      <c r="C11" s="100">
        <f t="shared" ref="C11:I12" si="1">C$3*C4</f>
        <v>0</v>
      </c>
      <c r="D11" s="100">
        <f t="shared" si="1"/>
        <v>0</v>
      </c>
      <c r="E11" s="115">
        <f t="shared" si="1"/>
        <v>56</v>
      </c>
      <c r="F11" s="115">
        <f t="shared" si="1"/>
        <v>480</v>
      </c>
      <c r="G11" s="115">
        <f>G$3*G4</f>
        <v>684</v>
      </c>
      <c r="H11" s="116">
        <f t="shared" si="1"/>
        <v>1886</v>
      </c>
      <c r="I11" s="117">
        <f t="shared" si="1"/>
        <v>644</v>
      </c>
      <c r="J11" s="121">
        <f>SUM(B11:I11)/SUM(B4:I4)</f>
        <v>37.619999999999997</v>
      </c>
      <c r="K11" s="122"/>
    </row>
    <row r="12" spans="1:11" x14ac:dyDescent="0.3">
      <c r="A12" s="114" t="s">
        <v>149</v>
      </c>
      <c r="B12" s="100">
        <f>B$3*B5</f>
        <v>27</v>
      </c>
      <c r="C12" s="100">
        <f t="shared" si="1"/>
        <v>0</v>
      </c>
      <c r="D12" s="100">
        <f t="shared" si="1"/>
        <v>21</v>
      </c>
      <c r="E12" s="115">
        <f t="shared" si="1"/>
        <v>0</v>
      </c>
      <c r="F12" s="115">
        <f t="shared" si="1"/>
        <v>672</v>
      </c>
      <c r="G12" s="115">
        <f t="shared" si="1"/>
        <v>396</v>
      </c>
      <c r="H12" s="116">
        <f t="shared" si="1"/>
        <v>1517</v>
      </c>
      <c r="I12" s="117">
        <f t="shared" si="1"/>
        <v>966</v>
      </c>
      <c r="J12" s="121">
        <f t="shared" ref="J12:J15" si="2">SUM(B12:I12)/SUM(B5:I5)</f>
        <v>35.99</v>
      </c>
      <c r="K12" s="121">
        <f>J$11-J12</f>
        <v>1.6299999999999955</v>
      </c>
    </row>
    <row r="13" spans="1:11" x14ac:dyDescent="0.3">
      <c r="A13" s="114" t="s">
        <v>148</v>
      </c>
      <c r="B13" s="100">
        <f t="shared" ref="B13:I15" si="3">B$3*B6</f>
        <v>48</v>
      </c>
      <c r="C13" s="100">
        <f t="shared" si="3"/>
        <v>0</v>
      </c>
      <c r="D13" s="100">
        <f t="shared" si="3"/>
        <v>147</v>
      </c>
      <c r="E13" s="115">
        <f t="shared" si="3"/>
        <v>448</v>
      </c>
      <c r="F13" s="115">
        <f t="shared" si="3"/>
        <v>928</v>
      </c>
      <c r="G13" s="115">
        <f t="shared" si="3"/>
        <v>360</v>
      </c>
      <c r="H13" s="116">
        <f t="shared" si="3"/>
        <v>738</v>
      </c>
      <c r="I13" s="117">
        <f t="shared" si="3"/>
        <v>184</v>
      </c>
      <c r="J13" s="121">
        <f t="shared" si="2"/>
        <v>28.53</v>
      </c>
      <c r="K13" s="121">
        <f t="shared" ref="K13:K15" si="4">J$11-J13</f>
        <v>9.0899999999999963</v>
      </c>
    </row>
    <row r="14" spans="1:11" x14ac:dyDescent="0.3">
      <c r="A14" s="114" t="s">
        <v>150</v>
      </c>
      <c r="B14" s="100">
        <f t="shared" si="3"/>
        <v>0</v>
      </c>
      <c r="C14" s="100">
        <f t="shared" si="3"/>
        <v>176</v>
      </c>
      <c r="D14" s="100">
        <f t="shared" si="3"/>
        <v>231</v>
      </c>
      <c r="E14" s="115">
        <f t="shared" si="3"/>
        <v>0</v>
      </c>
      <c r="F14" s="115">
        <f t="shared" si="3"/>
        <v>1408</v>
      </c>
      <c r="G14" s="115">
        <f t="shared" si="3"/>
        <v>0</v>
      </c>
      <c r="H14" s="116">
        <f t="shared" si="3"/>
        <v>451</v>
      </c>
      <c r="I14" s="117">
        <f t="shared" si="3"/>
        <v>828</v>
      </c>
      <c r="J14" s="121">
        <f t="shared" si="2"/>
        <v>30.94</v>
      </c>
      <c r="K14" s="121">
        <f t="shared" si="4"/>
        <v>6.6799999999999962</v>
      </c>
    </row>
    <row r="15" spans="1:11" x14ac:dyDescent="0.3">
      <c r="A15" s="114" t="s">
        <v>151</v>
      </c>
      <c r="B15" s="100">
        <f t="shared" si="3"/>
        <v>0</v>
      </c>
      <c r="C15" s="100">
        <f t="shared" si="3"/>
        <v>352</v>
      </c>
      <c r="D15" s="100">
        <f t="shared" si="3"/>
        <v>462</v>
      </c>
      <c r="E15" s="115">
        <f t="shared" si="3"/>
        <v>0</v>
      </c>
      <c r="F15" s="115">
        <f t="shared" si="3"/>
        <v>960</v>
      </c>
      <c r="G15" s="115">
        <f t="shared" si="3"/>
        <v>0</v>
      </c>
      <c r="H15" s="116">
        <f t="shared" si="3"/>
        <v>205</v>
      </c>
      <c r="I15" s="117">
        <f t="shared" si="3"/>
        <v>506</v>
      </c>
      <c r="J15" s="121">
        <f t="shared" si="2"/>
        <v>24.85</v>
      </c>
      <c r="K15" s="121">
        <f t="shared" si="4"/>
        <v>12.769999999999996</v>
      </c>
    </row>
    <row r="16" spans="1:11" x14ac:dyDescent="0.3">
      <c r="B16" s="100"/>
      <c r="C16" s="100"/>
      <c r="D16" s="100"/>
      <c r="E16" s="115"/>
      <c r="F16" s="115"/>
      <c r="G16" s="115"/>
      <c r="H16" s="116"/>
      <c r="I16" s="117"/>
    </row>
    <row r="17" spans="1:10" x14ac:dyDescent="0.3">
      <c r="A17" s="72" t="s">
        <v>357</v>
      </c>
      <c r="B17" s="100" t="s">
        <v>343</v>
      </c>
      <c r="C17" s="100" t="s">
        <v>344</v>
      </c>
      <c r="D17" s="100" t="s">
        <v>345</v>
      </c>
      <c r="E17" s="115" t="s">
        <v>346</v>
      </c>
      <c r="F17" s="115" t="s">
        <v>347</v>
      </c>
      <c r="G17" s="115" t="s">
        <v>348</v>
      </c>
      <c r="H17" s="116" t="s">
        <v>349</v>
      </c>
      <c r="I17" s="117" t="s">
        <v>350</v>
      </c>
    </row>
    <row r="18" spans="1:10" x14ac:dyDescent="0.3">
      <c r="A18" t="s">
        <v>149</v>
      </c>
      <c r="B18" s="100">
        <f t="shared" ref="B18:I21" si="5">B$4-B5</f>
        <v>-5</v>
      </c>
      <c r="C18" s="100">
        <f t="shared" si="5"/>
        <v>0</v>
      </c>
      <c r="D18" s="100">
        <f t="shared" si="5"/>
        <v>-1</v>
      </c>
      <c r="E18" s="115">
        <f t="shared" si="5"/>
        <v>2</v>
      </c>
      <c r="F18" s="115">
        <f t="shared" si="5"/>
        <v>-6</v>
      </c>
      <c r="G18" s="115">
        <f t="shared" si="5"/>
        <v>8</v>
      </c>
      <c r="H18" s="116">
        <f t="shared" si="5"/>
        <v>9</v>
      </c>
      <c r="I18" s="117">
        <f t="shared" si="5"/>
        <v>-7</v>
      </c>
    </row>
    <row r="19" spans="1:10" x14ac:dyDescent="0.3">
      <c r="A19" t="s">
        <v>148</v>
      </c>
      <c r="B19" s="100">
        <f t="shared" si="5"/>
        <v>-12</v>
      </c>
      <c r="C19" s="100">
        <f t="shared" si="5"/>
        <v>0</v>
      </c>
      <c r="D19" s="100">
        <f t="shared" si="5"/>
        <v>-7</v>
      </c>
      <c r="E19" s="115">
        <f t="shared" si="5"/>
        <v>-14</v>
      </c>
      <c r="F19" s="115">
        <f t="shared" si="5"/>
        <v>-14</v>
      </c>
      <c r="G19" s="115">
        <f t="shared" si="5"/>
        <v>9</v>
      </c>
      <c r="H19" s="116">
        <f t="shared" si="5"/>
        <v>28</v>
      </c>
      <c r="I19" s="117">
        <f t="shared" si="5"/>
        <v>10</v>
      </c>
    </row>
    <row r="20" spans="1:10" x14ac:dyDescent="0.3">
      <c r="A20" t="s">
        <v>150</v>
      </c>
      <c r="B20" s="100">
        <f t="shared" si="5"/>
        <v>4</v>
      </c>
      <c r="C20" s="100">
        <f t="shared" si="5"/>
        <v>-16</v>
      </c>
      <c r="D20" s="100">
        <f t="shared" si="5"/>
        <v>-11</v>
      </c>
      <c r="E20" s="115">
        <f t="shared" si="5"/>
        <v>2</v>
      </c>
      <c r="F20" s="115">
        <f t="shared" si="5"/>
        <v>-29</v>
      </c>
      <c r="G20" s="115">
        <f t="shared" si="5"/>
        <v>19</v>
      </c>
      <c r="H20" s="116">
        <f t="shared" si="5"/>
        <v>35</v>
      </c>
      <c r="I20" s="117">
        <f t="shared" si="5"/>
        <v>-4</v>
      </c>
    </row>
    <row r="21" spans="1:10" x14ac:dyDescent="0.3">
      <c r="A21" t="s">
        <v>151</v>
      </c>
      <c r="B21" s="100">
        <f t="shared" si="5"/>
        <v>4</v>
      </c>
      <c r="C21" s="100">
        <f t="shared" si="5"/>
        <v>-32</v>
      </c>
      <c r="D21" s="100">
        <f t="shared" si="5"/>
        <v>-22</v>
      </c>
      <c r="E21" s="115">
        <f t="shared" si="5"/>
        <v>2</v>
      </c>
      <c r="F21" s="115">
        <f t="shared" si="5"/>
        <v>-15</v>
      </c>
      <c r="G21" s="115">
        <f t="shared" si="5"/>
        <v>19</v>
      </c>
      <c r="H21" s="116">
        <f t="shared" si="5"/>
        <v>41</v>
      </c>
      <c r="I21" s="117">
        <f t="shared" si="5"/>
        <v>3</v>
      </c>
    </row>
    <row r="23" spans="1:10" x14ac:dyDescent="0.3">
      <c r="A23" s="72" t="s">
        <v>359</v>
      </c>
      <c r="B23" s="202" t="s">
        <v>360</v>
      </c>
      <c r="C23" s="202"/>
      <c r="D23" s="202"/>
      <c r="E23" s="203" t="s">
        <v>361</v>
      </c>
      <c r="F23" s="203"/>
      <c r="G23" s="203"/>
      <c r="H23" s="204" t="s">
        <v>362</v>
      </c>
      <c r="I23" s="204"/>
    </row>
    <row r="24" spans="1:10" x14ac:dyDescent="0.3">
      <c r="A24" t="s">
        <v>149</v>
      </c>
      <c r="B24" s="198">
        <f>SUM(B18:D18)</f>
        <v>-6</v>
      </c>
      <c r="C24" s="198"/>
      <c r="D24" s="198"/>
      <c r="E24" s="199">
        <f>SUM(E18:G18)</f>
        <v>4</v>
      </c>
      <c r="F24" s="199"/>
      <c r="G24" s="199"/>
      <c r="H24" s="200">
        <f>SUM(H18:I18)</f>
        <v>2</v>
      </c>
      <c r="I24" s="200"/>
    </row>
    <row r="25" spans="1:10" x14ac:dyDescent="0.3">
      <c r="A25" t="s">
        <v>148</v>
      </c>
      <c r="B25" s="198">
        <f t="shared" ref="B25:B27" si="6">SUM(B19:D19)</f>
        <v>-19</v>
      </c>
      <c r="C25" s="198"/>
      <c r="D25" s="198"/>
      <c r="E25" s="199">
        <f t="shared" ref="E25:E27" si="7">SUM(E19:G19)</f>
        <v>-19</v>
      </c>
      <c r="F25" s="199"/>
      <c r="G25" s="199"/>
      <c r="H25" s="200">
        <f t="shared" ref="H25:H27" si="8">SUM(H19:I19)</f>
        <v>38</v>
      </c>
      <c r="I25" s="200"/>
    </row>
    <row r="26" spans="1:10" x14ac:dyDescent="0.3">
      <c r="A26" t="s">
        <v>150</v>
      </c>
      <c r="B26" s="198">
        <f t="shared" si="6"/>
        <v>-23</v>
      </c>
      <c r="C26" s="198"/>
      <c r="D26" s="198"/>
      <c r="E26" s="199">
        <f t="shared" si="7"/>
        <v>-8</v>
      </c>
      <c r="F26" s="199"/>
      <c r="G26" s="199"/>
      <c r="H26" s="200">
        <f t="shared" si="8"/>
        <v>31</v>
      </c>
      <c r="I26" s="200"/>
    </row>
    <row r="27" spans="1:10" x14ac:dyDescent="0.3">
      <c r="A27" t="s">
        <v>151</v>
      </c>
      <c r="B27" s="198">
        <f t="shared" si="6"/>
        <v>-50</v>
      </c>
      <c r="C27" s="198"/>
      <c r="D27" s="198"/>
      <c r="E27" s="199">
        <f t="shared" si="7"/>
        <v>6</v>
      </c>
      <c r="F27" s="199"/>
      <c r="G27" s="199"/>
      <c r="H27" s="200">
        <f t="shared" si="8"/>
        <v>44</v>
      </c>
      <c r="I27" s="200"/>
    </row>
    <row r="28" spans="1:10" x14ac:dyDescent="0.3">
      <c r="A28" s="116" t="s">
        <v>363</v>
      </c>
      <c r="B28" s="201">
        <f>SUM(B4:D4)</f>
        <v>4</v>
      </c>
      <c r="C28" s="201"/>
      <c r="D28" s="201"/>
      <c r="E28" s="201">
        <f>SUM(E4:G4)</f>
        <v>36</v>
      </c>
      <c r="F28" s="201"/>
      <c r="G28" s="201"/>
      <c r="H28" s="201">
        <f>SUM(H4:I4)</f>
        <v>60</v>
      </c>
      <c r="I28" s="201"/>
      <c r="J28" t="s">
        <v>364</v>
      </c>
    </row>
    <row r="30" spans="1:10" x14ac:dyDescent="0.3">
      <c r="E30" s="71" t="s">
        <v>365</v>
      </c>
      <c r="F30" s="126" t="s">
        <v>366</v>
      </c>
    </row>
    <row r="31" spans="1:10" x14ac:dyDescent="0.3">
      <c r="F31" s="126" t="s">
        <v>367</v>
      </c>
    </row>
  </sheetData>
  <mergeCells count="18">
    <mergeCell ref="B23:D23"/>
    <mergeCell ref="E23:G23"/>
    <mergeCell ref="H23:I23"/>
    <mergeCell ref="B24:D24"/>
    <mergeCell ref="E24:G24"/>
    <mergeCell ref="H24:I24"/>
    <mergeCell ref="B25:D25"/>
    <mergeCell ref="E25:G25"/>
    <mergeCell ref="H25:I25"/>
    <mergeCell ref="B26:D26"/>
    <mergeCell ref="E26:G26"/>
    <mergeCell ref="H26:I26"/>
    <mergeCell ref="B27:D27"/>
    <mergeCell ref="E27:G27"/>
    <mergeCell ref="H27:I27"/>
    <mergeCell ref="B28:D28"/>
    <mergeCell ref="E28:G28"/>
    <mergeCell ref="H28:I2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39836-EEC5-47BB-94F8-6F4F276B48F0}">
  <sheetPr>
    <tabColor theme="5" tint="0.79998168889431442"/>
  </sheetPr>
  <dimension ref="A1:T56"/>
  <sheetViews>
    <sheetView zoomScale="70" zoomScaleNormal="70" workbookViewId="0">
      <selection activeCell="D15" sqref="D15"/>
    </sheetView>
  </sheetViews>
  <sheetFormatPr defaultRowHeight="14.4" x14ac:dyDescent="0.3"/>
  <cols>
    <col min="1" max="1" width="18.44140625" style="10" customWidth="1"/>
    <col min="2" max="3" width="22.5546875" style="10" customWidth="1"/>
    <col min="4" max="4" width="26" style="10" customWidth="1"/>
    <col min="5" max="5" width="18.44140625" style="10" customWidth="1"/>
    <col min="6" max="6" width="20.5546875" style="10" customWidth="1"/>
    <col min="7" max="7" width="19.6640625" style="10" customWidth="1"/>
    <col min="8" max="8" width="16" customWidth="1"/>
    <col min="9" max="9" width="15.44140625" customWidth="1"/>
    <col min="10" max="10" width="46.33203125" style="1" customWidth="1"/>
    <col min="11" max="11" width="12.44140625" style="1" bestFit="1" customWidth="1"/>
    <col min="12" max="12" width="13.109375" bestFit="1" customWidth="1"/>
    <col min="13" max="13" width="19.5546875" customWidth="1"/>
    <col min="14" max="14" width="12.21875" customWidth="1"/>
    <col min="16" max="16" width="13.5546875" bestFit="1" customWidth="1"/>
  </cols>
  <sheetData>
    <row r="1" spans="1:20" ht="21" x14ac:dyDescent="0.4">
      <c r="A1" s="188" t="s">
        <v>456</v>
      </c>
    </row>
    <row r="2" spans="1:20" ht="46.8" x14ac:dyDescent="0.3">
      <c r="A2" s="135" t="s">
        <v>2</v>
      </c>
      <c r="B2" s="135" t="s">
        <v>86</v>
      </c>
      <c r="C2" s="135" t="s">
        <v>601</v>
      </c>
      <c r="D2" s="135" t="s">
        <v>457</v>
      </c>
      <c r="E2" s="136" t="s">
        <v>458</v>
      </c>
      <c r="F2" s="136" t="s">
        <v>459</v>
      </c>
      <c r="G2" s="136" t="s">
        <v>460</v>
      </c>
      <c r="H2" s="136" t="s">
        <v>461</v>
      </c>
      <c r="I2" s="136" t="s">
        <v>462</v>
      </c>
      <c r="J2" s="136" t="s">
        <v>463</v>
      </c>
    </row>
    <row r="3" spans="1:20" ht="77.400000000000006" customHeight="1" x14ac:dyDescent="0.3">
      <c r="A3" s="36" t="s">
        <v>2</v>
      </c>
      <c r="B3" s="34" t="s">
        <v>86</v>
      </c>
      <c r="C3" s="34" t="s">
        <v>0</v>
      </c>
      <c r="D3" s="137" t="s">
        <v>195</v>
      </c>
      <c r="E3" s="138" t="s">
        <v>464</v>
      </c>
      <c r="F3" s="138" t="s">
        <v>465</v>
      </c>
      <c r="G3" s="138" t="s">
        <v>466</v>
      </c>
      <c r="H3" s="139" t="s">
        <v>467</v>
      </c>
      <c r="I3" s="139" t="s">
        <v>468</v>
      </c>
      <c r="J3" s="140" t="s">
        <v>502</v>
      </c>
      <c r="K3" s="174" t="s">
        <v>503</v>
      </c>
      <c r="L3" s="4"/>
    </row>
    <row r="4" spans="1:20" ht="15.6" thickBot="1" x14ac:dyDescent="0.35">
      <c r="A4" s="141" t="s">
        <v>469</v>
      </c>
      <c r="B4" s="18" t="s">
        <v>602</v>
      </c>
      <c r="C4" s="18">
        <v>1</v>
      </c>
      <c r="D4" s="142">
        <v>3.1703703703703701</v>
      </c>
      <c r="E4" s="143">
        <v>60</v>
      </c>
      <c r="F4" s="144">
        <v>10.046728971962617</v>
      </c>
      <c r="G4" s="143">
        <v>33.571428571428569</v>
      </c>
      <c r="H4" s="182">
        <f>(F4)/(E4)</f>
        <v>0.1674454828660436</v>
      </c>
      <c r="I4" s="183">
        <f>(G4)/(F4)</f>
        <v>3.3415282392026575</v>
      </c>
      <c r="J4" s="163" t="s">
        <v>470</v>
      </c>
      <c r="K4" s="163">
        <v>8.81</v>
      </c>
    </row>
    <row r="5" spans="1:20" ht="15.6" thickBot="1" x14ac:dyDescent="0.35">
      <c r="A5" s="141" t="s">
        <v>469</v>
      </c>
      <c r="B5" s="18" t="s">
        <v>602</v>
      </c>
      <c r="C5" s="18">
        <v>2</v>
      </c>
      <c r="D5" s="142">
        <v>2.6847826086956523</v>
      </c>
      <c r="E5" s="143">
        <v>46.739130434782602</v>
      </c>
      <c r="F5" s="144">
        <v>7.6923076923076916</v>
      </c>
      <c r="G5" s="143">
        <v>25.265392781316347</v>
      </c>
      <c r="H5" s="182">
        <f t="shared" ref="H5:I37" si="0">(F5)/(E5)</f>
        <v>0.16457960644007155</v>
      </c>
      <c r="I5" s="183">
        <f t="shared" si="0"/>
        <v>3.2845010615711252</v>
      </c>
      <c r="J5" s="163" t="s">
        <v>470</v>
      </c>
      <c r="K5" s="163">
        <v>7.27</v>
      </c>
    </row>
    <row r="6" spans="1:20" ht="15.6" thickBot="1" x14ac:dyDescent="0.35">
      <c r="A6" s="141" t="s">
        <v>469</v>
      </c>
      <c r="B6" s="18" t="s">
        <v>602</v>
      </c>
      <c r="C6" s="18">
        <v>3</v>
      </c>
      <c r="D6" s="142">
        <v>4.6603773584905666</v>
      </c>
      <c r="E6" s="145">
        <v>11.320754716981131</v>
      </c>
      <c r="F6" s="143">
        <v>2.0242914979757085</v>
      </c>
      <c r="G6" s="143">
        <v>19.811320754716981</v>
      </c>
      <c r="H6" s="183">
        <f t="shared" si="0"/>
        <v>0.17881241565452094</v>
      </c>
      <c r="I6" s="182">
        <f t="shared" si="0"/>
        <v>9.7867924528301877</v>
      </c>
      <c r="J6" s="163" t="s">
        <v>470</v>
      </c>
      <c r="K6" s="163">
        <v>9.0399999999999991</v>
      </c>
    </row>
    <row r="7" spans="1:20" ht="15.6" thickBot="1" x14ac:dyDescent="0.35">
      <c r="A7" s="141" t="s">
        <v>469</v>
      </c>
      <c r="B7" s="18" t="s">
        <v>602</v>
      </c>
      <c r="C7" s="18">
        <v>4</v>
      </c>
      <c r="D7" s="142">
        <v>3.5405405405405403</v>
      </c>
      <c r="E7" s="143">
        <v>50</v>
      </c>
      <c r="F7" s="143">
        <v>5.0890585241730282</v>
      </c>
      <c r="G7" s="145">
        <v>12.979890310786105</v>
      </c>
      <c r="H7" s="182">
        <f t="shared" ref="H7:I10" si="1">(F7)/(E7)</f>
        <v>0.10178117048346057</v>
      </c>
      <c r="I7" s="183">
        <f t="shared" si="1"/>
        <v>2.5505484460694698</v>
      </c>
      <c r="J7" s="163" t="s">
        <v>470</v>
      </c>
      <c r="K7" s="163">
        <v>8.51</v>
      </c>
    </row>
    <row r="8" spans="1:20" ht="15.6" thickBot="1" x14ac:dyDescent="0.35">
      <c r="A8" s="141" t="s">
        <v>469</v>
      </c>
      <c r="B8" s="18" t="s">
        <v>602</v>
      </c>
      <c r="C8" s="18">
        <v>5</v>
      </c>
      <c r="D8" s="142">
        <v>4.661290322580645</v>
      </c>
      <c r="E8" s="144">
        <v>42.857142857142847</v>
      </c>
      <c r="F8" s="143">
        <v>5.5363321799307963</v>
      </c>
      <c r="G8" s="145">
        <v>14.360313315926893</v>
      </c>
      <c r="H8" s="182">
        <f t="shared" si="1"/>
        <v>0.12918108419838528</v>
      </c>
      <c r="I8" s="183">
        <f t="shared" si="1"/>
        <v>2.5938315926892948</v>
      </c>
      <c r="J8" s="163" t="s">
        <v>470</v>
      </c>
      <c r="K8" s="163">
        <v>7.72</v>
      </c>
    </row>
    <row r="9" spans="1:20" ht="15.6" thickBot="1" x14ac:dyDescent="0.35">
      <c r="A9" s="141" t="s">
        <v>469</v>
      </c>
      <c r="B9" s="18" t="s">
        <v>602</v>
      </c>
      <c r="C9" s="18">
        <v>6</v>
      </c>
      <c r="D9" s="142">
        <v>4.4285714285714288</v>
      </c>
      <c r="E9" s="144">
        <v>40.909090909090907</v>
      </c>
      <c r="F9" s="143">
        <v>5.0691244239631335</v>
      </c>
      <c r="G9" s="145">
        <v>12.703583061889251</v>
      </c>
      <c r="H9" s="182">
        <f t="shared" si="1"/>
        <v>0.12391193036354327</v>
      </c>
      <c r="I9" s="183">
        <f t="shared" si="1"/>
        <v>2.5060704767545161</v>
      </c>
      <c r="J9" s="163" t="s">
        <v>470</v>
      </c>
      <c r="K9" s="163">
        <v>6.82</v>
      </c>
    </row>
    <row r="10" spans="1:20" ht="15.6" thickBot="1" x14ac:dyDescent="0.35">
      <c r="A10" s="141" t="s">
        <v>469</v>
      </c>
      <c r="B10" s="12" t="s">
        <v>469</v>
      </c>
      <c r="C10" s="12">
        <v>7</v>
      </c>
      <c r="D10" s="142">
        <v>3.1460674157303368</v>
      </c>
      <c r="E10" s="143">
        <v>52.80898876404494</v>
      </c>
      <c r="F10" s="144">
        <v>6.7857142857142865</v>
      </c>
      <c r="G10" s="143">
        <v>34.102564102564102</v>
      </c>
      <c r="H10" s="182">
        <f t="shared" si="1"/>
        <v>0.1284954407294833</v>
      </c>
      <c r="I10" s="182">
        <f t="shared" si="1"/>
        <v>5.0256410256410247</v>
      </c>
      <c r="J10" s="163" t="s">
        <v>470</v>
      </c>
      <c r="K10" s="163">
        <v>10.93</v>
      </c>
    </row>
    <row r="11" spans="1:20" ht="15.6" thickBot="1" x14ac:dyDescent="0.35">
      <c r="A11" s="141" t="s">
        <v>469</v>
      </c>
      <c r="B11" s="12" t="s">
        <v>60</v>
      </c>
      <c r="C11" s="12">
        <v>8</v>
      </c>
      <c r="D11" s="142">
        <v>3.1151832460732987</v>
      </c>
      <c r="E11" s="145">
        <v>21.98952879581152</v>
      </c>
      <c r="F11" s="143">
        <v>1.680672268907563</v>
      </c>
      <c r="G11" s="143">
        <v>35.68075117370892</v>
      </c>
      <c r="H11" s="182">
        <f t="shared" si="0"/>
        <v>7.6430572228891547E-2</v>
      </c>
      <c r="I11" s="182">
        <f t="shared" si="0"/>
        <v>21.230046948356808</v>
      </c>
      <c r="J11" s="163" t="s">
        <v>470</v>
      </c>
      <c r="K11" s="163">
        <v>10.78</v>
      </c>
    </row>
    <row r="12" spans="1:20" ht="15.6" thickBot="1" x14ac:dyDescent="0.35">
      <c r="A12" s="141" t="s">
        <v>469</v>
      </c>
      <c r="B12" s="12" t="s">
        <v>60</v>
      </c>
      <c r="C12" s="12">
        <v>9</v>
      </c>
      <c r="D12" s="146">
        <v>1.4596774193548387</v>
      </c>
      <c r="E12" s="143">
        <v>45.161290322580648</v>
      </c>
      <c r="F12" s="143">
        <v>1.6574585635359116</v>
      </c>
      <c r="G12" s="144">
        <v>18.725099601593627</v>
      </c>
      <c r="H12" s="182">
        <f t="shared" si="0"/>
        <v>3.67008681925809E-2</v>
      </c>
      <c r="I12" s="182">
        <f t="shared" si="0"/>
        <v>11.297476759628156</v>
      </c>
      <c r="J12" s="163" t="s">
        <v>470</v>
      </c>
      <c r="K12" s="163">
        <v>9.34</v>
      </c>
    </row>
    <row r="13" spans="1:20" ht="21.6" thickBot="1" x14ac:dyDescent="0.45">
      <c r="A13" s="141" t="s">
        <v>469</v>
      </c>
      <c r="B13" s="12" t="s">
        <v>60</v>
      </c>
      <c r="C13" s="12">
        <v>10</v>
      </c>
      <c r="D13" s="146">
        <v>1.7346938775510203</v>
      </c>
      <c r="E13" s="143">
        <v>70.408163265306129</v>
      </c>
      <c r="F13" s="143">
        <v>5.2941176470588234</v>
      </c>
      <c r="G13" s="143">
        <v>24.409448818897637</v>
      </c>
      <c r="H13" s="182">
        <f t="shared" si="0"/>
        <v>7.5191815856777477E-2</v>
      </c>
      <c r="I13" s="182">
        <f t="shared" si="0"/>
        <v>4.6106736657917757</v>
      </c>
      <c r="J13" s="163" t="s">
        <v>470</v>
      </c>
      <c r="K13" s="163">
        <v>10.44</v>
      </c>
      <c r="M13" s="147" t="s">
        <v>472</v>
      </c>
      <c r="N13" s="148"/>
      <c r="O13" s="148"/>
      <c r="P13" s="148"/>
      <c r="Q13" s="148"/>
      <c r="R13" s="148"/>
      <c r="S13" s="148"/>
      <c r="T13" s="148"/>
    </row>
    <row r="14" spans="1:20" ht="15.6" thickBot="1" x14ac:dyDescent="0.35">
      <c r="A14" s="141" t="s">
        <v>469</v>
      </c>
      <c r="B14" s="12" t="s">
        <v>60</v>
      </c>
      <c r="C14" s="12">
        <v>11</v>
      </c>
      <c r="D14" s="142">
        <v>4.6164383561643838</v>
      </c>
      <c r="E14" s="145">
        <v>8.2191780821917799</v>
      </c>
      <c r="F14" s="143">
        <v>0</v>
      </c>
      <c r="G14" s="143">
        <v>20.924574209245741</v>
      </c>
      <c r="H14" s="182">
        <f>(F14)/(E14)</f>
        <v>0</v>
      </c>
      <c r="I14" s="182" t="e">
        <f>(G14)/(F14)</f>
        <v>#DIV/0!</v>
      </c>
      <c r="J14" s="163" t="s">
        <v>470</v>
      </c>
      <c r="K14" s="163">
        <v>14.19</v>
      </c>
      <c r="L14" s="149"/>
      <c r="M14" s="149"/>
      <c r="O14" s="72" t="s">
        <v>473</v>
      </c>
      <c r="P14" t="s">
        <v>474</v>
      </c>
    </row>
    <row r="15" spans="1:20" ht="15.6" thickBot="1" x14ac:dyDescent="0.35">
      <c r="A15" s="150" t="s">
        <v>61</v>
      </c>
      <c r="B15" s="12" t="s">
        <v>61</v>
      </c>
      <c r="C15" s="12">
        <v>12</v>
      </c>
      <c r="D15" s="146">
        <v>2.2901554404145079</v>
      </c>
      <c r="E15" s="143">
        <v>61.6580310880829</v>
      </c>
      <c r="F15" s="145">
        <v>12.443438914027151</v>
      </c>
      <c r="G15" s="143">
        <v>28.328611898016998</v>
      </c>
      <c r="H15" s="182">
        <f t="shared" si="0"/>
        <v>0.201813757177079</v>
      </c>
      <c r="I15" s="184">
        <f t="shared" si="0"/>
        <v>2.2765902652588204</v>
      </c>
      <c r="J15" s="163" t="s">
        <v>475</v>
      </c>
      <c r="K15" s="163">
        <v>11.31</v>
      </c>
      <c r="O15" s="37" t="s">
        <v>476</v>
      </c>
      <c r="P15" t="s">
        <v>477</v>
      </c>
    </row>
    <row r="16" spans="1:20" ht="15.6" thickBot="1" x14ac:dyDescent="0.35">
      <c r="A16" s="150" t="s">
        <v>61</v>
      </c>
      <c r="B16" s="12" t="s">
        <v>61</v>
      </c>
      <c r="C16" s="12">
        <v>13</v>
      </c>
      <c r="D16" s="142">
        <v>3.3285714285714287</v>
      </c>
      <c r="E16" s="143">
        <v>51.428571428571438</v>
      </c>
      <c r="F16" s="143">
        <v>4.2918454935622314</v>
      </c>
      <c r="G16" s="143">
        <v>31.830985915492953</v>
      </c>
      <c r="H16" s="182">
        <f t="shared" si="0"/>
        <v>8.345255126371004E-2</v>
      </c>
      <c r="I16" s="182">
        <f t="shared" si="0"/>
        <v>7.4166197183098586</v>
      </c>
      <c r="J16" s="163" t="s">
        <v>470</v>
      </c>
      <c r="K16" s="163">
        <v>10.42</v>
      </c>
      <c r="N16" s="149"/>
      <c r="O16" s="72" t="s">
        <v>478</v>
      </c>
      <c r="P16" t="s">
        <v>479</v>
      </c>
    </row>
    <row r="17" spans="1:20" ht="15.6" thickBot="1" x14ac:dyDescent="0.35">
      <c r="A17" s="150" t="s">
        <v>61</v>
      </c>
      <c r="B17" s="12" t="s">
        <v>61</v>
      </c>
      <c r="C17" s="12">
        <v>14</v>
      </c>
      <c r="D17" s="146">
        <v>0.88284518828451874</v>
      </c>
      <c r="E17" s="143">
        <v>60.669456066945607</v>
      </c>
      <c r="F17" s="143">
        <v>3.7914691943127963</v>
      </c>
      <c r="G17" s="145">
        <v>8.7227414330218078</v>
      </c>
      <c r="H17" s="182">
        <f t="shared" si="0"/>
        <v>6.2493871547638503E-2</v>
      </c>
      <c r="I17" s="184">
        <f t="shared" si="0"/>
        <v>2.300623052959502</v>
      </c>
      <c r="J17" s="163" t="s">
        <v>475</v>
      </c>
      <c r="K17" s="163">
        <v>16.02</v>
      </c>
      <c r="O17" s="72" t="s">
        <v>480</v>
      </c>
      <c r="P17" t="s">
        <v>481</v>
      </c>
    </row>
    <row r="18" spans="1:20" ht="15.6" thickBot="1" x14ac:dyDescent="0.35">
      <c r="A18" s="150" t="s">
        <v>61</v>
      </c>
      <c r="B18" s="12" t="s">
        <v>61</v>
      </c>
      <c r="C18" s="12">
        <v>15</v>
      </c>
      <c r="D18" s="142">
        <v>3.2477876106194694</v>
      </c>
      <c r="E18" s="145">
        <v>7.0796460176991163</v>
      </c>
      <c r="F18" s="143">
        <v>2.4523160762942782</v>
      </c>
      <c r="G18" s="145">
        <v>13.947368421052634</v>
      </c>
      <c r="H18" s="184">
        <f t="shared" si="0"/>
        <v>0.34638964577656672</v>
      </c>
      <c r="I18" s="182">
        <f t="shared" si="0"/>
        <v>5.6874269005847955</v>
      </c>
      <c r="J18" s="163" t="s">
        <v>475</v>
      </c>
      <c r="K18" s="163">
        <v>13.32</v>
      </c>
    </row>
    <row r="19" spans="1:20" ht="15.6" thickBot="1" x14ac:dyDescent="0.35">
      <c r="A19" s="150" t="s">
        <v>61</v>
      </c>
      <c r="B19" s="12" t="s">
        <v>61</v>
      </c>
      <c r="C19" s="12">
        <v>16</v>
      </c>
      <c r="D19" s="146">
        <v>1.9951923076923077</v>
      </c>
      <c r="E19" s="143">
        <v>57.692307692307686</v>
      </c>
      <c r="F19" s="143">
        <v>4.5783132530120483</v>
      </c>
      <c r="G19" s="143">
        <v>27.493917274939168</v>
      </c>
      <c r="H19" s="182">
        <f t="shared" si="0"/>
        <v>7.9357429718875508E-2</v>
      </c>
      <c r="I19" s="182">
        <f t="shared" si="0"/>
        <v>6.0052503521577654</v>
      </c>
      <c r="J19" s="163" t="s">
        <v>470</v>
      </c>
      <c r="K19" s="163">
        <v>17.77</v>
      </c>
      <c r="M19" s="151" t="s">
        <v>482</v>
      </c>
      <c r="N19" s="152" t="s">
        <v>483</v>
      </c>
      <c r="O19" s="153" t="s">
        <v>484</v>
      </c>
      <c r="P19" s="154" t="s">
        <v>473</v>
      </c>
      <c r="Q19" s="155" t="s">
        <v>476</v>
      </c>
      <c r="R19" s="155" t="s">
        <v>478</v>
      </c>
      <c r="S19" s="154" t="s">
        <v>480</v>
      </c>
      <c r="T19" s="156" t="s">
        <v>484</v>
      </c>
    </row>
    <row r="20" spans="1:20" ht="15.6" thickBot="1" x14ac:dyDescent="0.35">
      <c r="A20" s="157" t="s">
        <v>62</v>
      </c>
      <c r="B20" s="12" t="s">
        <v>62</v>
      </c>
      <c r="C20" s="12">
        <v>17</v>
      </c>
      <c r="D20" s="142">
        <v>2.5901639344262297</v>
      </c>
      <c r="E20" s="143">
        <v>40.16393442622951</v>
      </c>
      <c r="F20" s="143">
        <v>5.2215189873417724</v>
      </c>
      <c r="G20" s="145">
        <v>14.524207011686144</v>
      </c>
      <c r="H20" s="182">
        <f t="shared" si="0"/>
        <v>0.13000516662361147</v>
      </c>
      <c r="I20" s="183">
        <f t="shared" si="0"/>
        <v>2.7816057064804975</v>
      </c>
      <c r="J20" s="163" t="s">
        <v>470</v>
      </c>
      <c r="K20" s="163">
        <v>26.27</v>
      </c>
      <c r="M20" s="72" t="s">
        <v>147</v>
      </c>
      <c r="N20" s="158">
        <f>MEDIAN(H4:H14)</f>
        <v>0.12391193036354327</v>
      </c>
      <c r="P20" s="159">
        <f>_xlfn.QUARTILE.INC($H4:$H13,1)</f>
        <v>8.2768221792533805E-2</v>
      </c>
      <c r="Q20" s="159">
        <f>_xlfn.QUARTILE.INC($H4:$H13,2)</f>
        <v>0.12620368554651329</v>
      </c>
      <c r="R20" s="159">
        <f>_xlfn.QUARTILE.INC($H4:$H13,3)</f>
        <v>0.15572997587964998</v>
      </c>
      <c r="S20" s="159">
        <f>_xlfn.QUARTILE.INC($H4:$H13,4)</f>
        <v>0.17881241565452094</v>
      </c>
      <c r="T20" s="160"/>
    </row>
    <row r="21" spans="1:20" ht="15.6" thickBot="1" x14ac:dyDescent="0.35">
      <c r="A21" s="157" t="s">
        <v>62</v>
      </c>
      <c r="B21" s="12" t="s">
        <v>62</v>
      </c>
      <c r="C21" s="12">
        <v>18</v>
      </c>
      <c r="D21" s="142">
        <v>2.7380952380952381</v>
      </c>
      <c r="E21" s="144">
        <v>32.857142857142854</v>
      </c>
      <c r="F21" s="143">
        <v>5.9130434782608701</v>
      </c>
      <c r="G21" s="144">
        <v>15.904936014625228</v>
      </c>
      <c r="H21" s="182">
        <f t="shared" si="0"/>
        <v>0.1799621928166352</v>
      </c>
      <c r="I21" s="183">
        <f t="shared" si="0"/>
        <v>2.6898053554145602</v>
      </c>
      <c r="J21" s="163" t="s">
        <v>470</v>
      </c>
      <c r="K21" s="163">
        <v>18.260000000000002</v>
      </c>
      <c r="M21" s="72" t="s">
        <v>149</v>
      </c>
      <c r="N21" s="158">
        <f>MEDIAN(H15:H19)</f>
        <v>8.345255126371004E-2</v>
      </c>
      <c r="P21" s="159">
        <f>_xlfn.QUARTILE.INC($H15:$H19,1)</f>
        <v>7.9357429718875508E-2</v>
      </c>
      <c r="Q21" s="159">
        <f>_xlfn.QUARTILE.INC($H15:$H19,2)</f>
        <v>8.345255126371004E-2</v>
      </c>
      <c r="R21" s="159">
        <f>_xlfn.QUARTILE.INC($H15:$H19,3)</f>
        <v>0.201813757177079</v>
      </c>
      <c r="S21" s="159">
        <f>_xlfn.QUARTILE.INC($H15:$H19,4)</f>
        <v>0.34638964577656672</v>
      </c>
      <c r="T21" s="160"/>
    </row>
    <row r="22" spans="1:20" ht="15.6" thickBot="1" x14ac:dyDescent="0.35">
      <c r="A22" s="157" t="s">
        <v>62</v>
      </c>
      <c r="B22" s="12" t="s">
        <v>62</v>
      </c>
      <c r="C22" s="12">
        <v>19</v>
      </c>
      <c r="D22" s="146">
        <v>2.3466666666666667</v>
      </c>
      <c r="E22" s="145">
        <v>18.666666666666668</v>
      </c>
      <c r="F22" s="143">
        <v>1.7045454545454544</v>
      </c>
      <c r="G22" s="145">
        <v>5.1413881748071981</v>
      </c>
      <c r="H22" s="182">
        <f t="shared" si="0"/>
        <v>9.1314935064935043E-2</v>
      </c>
      <c r="I22" s="183">
        <f t="shared" si="0"/>
        <v>3.0162810625535568</v>
      </c>
      <c r="J22" s="163" t="s">
        <v>475</v>
      </c>
      <c r="K22" s="163">
        <v>14.82</v>
      </c>
      <c r="M22" s="72" t="s">
        <v>148</v>
      </c>
      <c r="N22" s="158">
        <f>MEDIAN(H20:H23)</f>
        <v>0.14515898604885363</v>
      </c>
      <c r="P22" s="159">
        <f>_xlfn.QUARTILE.INC($H20:$H23,1)</f>
        <v>0.12033260873394236</v>
      </c>
      <c r="Q22" s="159">
        <f>_xlfn.QUARTILE.INC($H20:$H23,2)</f>
        <v>0.14515898604885363</v>
      </c>
      <c r="R22" s="159">
        <f>_xlfn.QUARTILE.INC($H20:$H23,3)</f>
        <v>0.16522515230973064</v>
      </c>
      <c r="S22" s="159">
        <f>_xlfn.QUARTILE.INC($H20:$H23,4)</f>
        <v>0.1799621928166352</v>
      </c>
      <c r="T22" s="160"/>
    </row>
    <row r="23" spans="1:20" ht="28.8" customHeight="1" thickBot="1" x14ac:dyDescent="0.35">
      <c r="A23" s="157" t="s">
        <v>62</v>
      </c>
      <c r="B23" s="12" t="s">
        <v>62</v>
      </c>
      <c r="C23" s="12">
        <v>20</v>
      </c>
      <c r="D23" s="146">
        <v>2.2682926829268295</v>
      </c>
      <c r="E23" s="145">
        <v>8.9430894308943092</v>
      </c>
      <c r="F23" s="143">
        <v>1.4336917562724014</v>
      </c>
      <c r="G23" s="145">
        <v>3.2719836400818001</v>
      </c>
      <c r="H23" s="182">
        <f t="shared" si="0"/>
        <v>0.16031280547409579</v>
      </c>
      <c r="I23" s="184">
        <f t="shared" si="0"/>
        <v>2.2822085889570558</v>
      </c>
      <c r="J23" s="163" t="s">
        <v>485</v>
      </c>
      <c r="K23" s="163">
        <v>14.02</v>
      </c>
      <c r="M23" s="72" t="s">
        <v>151</v>
      </c>
      <c r="N23" s="158">
        <f>MEDIAN(H24:H25)</f>
        <v>1.4446975546975542</v>
      </c>
      <c r="P23" s="159">
        <f>_xlfn.QUARTILE.INC($H24:$H25,1)</f>
        <v>0.82180823680823667</v>
      </c>
      <c r="Q23" s="159">
        <f>_xlfn.QUARTILE.INC($H24:$H25,2)</f>
        <v>1.4446975546975542</v>
      </c>
      <c r="R23" s="159">
        <f>_xlfn.QUARTILE.INC($H24:$H25,3)</f>
        <v>2.067586872586872</v>
      </c>
      <c r="S23" s="159">
        <f>_xlfn.QUARTILE.INC($H24:$H25,4)</f>
        <v>2.6904761904761898</v>
      </c>
      <c r="T23" s="160"/>
    </row>
    <row r="24" spans="1:20" ht="34.200000000000003" customHeight="1" thickBot="1" x14ac:dyDescent="0.35">
      <c r="A24" s="161" t="s">
        <v>63</v>
      </c>
      <c r="B24" s="12" t="s">
        <v>63</v>
      </c>
      <c r="C24" s="162">
        <v>21</v>
      </c>
      <c r="D24" s="146">
        <v>0.5575221238938054</v>
      </c>
      <c r="E24" s="145">
        <v>1.7699115044247791</v>
      </c>
      <c r="F24" s="143">
        <v>4.7619047619047619</v>
      </c>
      <c r="G24" s="145">
        <v>4.6728971962616823</v>
      </c>
      <c r="H24" s="184">
        <f t="shared" si="0"/>
        <v>2.6904761904761898</v>
      </c>
      <c r="I24" s="184">
        <f t="shared" si="0"/>
        <v>0.98130841121495327</v>
      </c>
      <c r="J24" s="163" t="s">
        <v>485</v>
      </c>
      <c r="K24" s="163">
        <v>7.79</v>
      </c>
      <c r="M24" s="72" t="s">
        <v>150</v>
      </c>
      <c r="N24" s="158">
        <f>MEDIAN(H26:H37)</f>
        <v>0.35190469485771497</v>
      </c>
      <c r="P24" s="159">
        <f>_xlfn.QUARTILE.INC($H26:$H37,1)</f>
        <v>0.24286985822366328</v>
      </c>
      <c r="Q24" s="159">
        <f>_xlfn.QUARTILE.INC($H26:$H37,2)</f>
        <v>0.35190469485771497</v>
      </c>
      <c r="R24" s="159">
        <f>_xlfn.QUARTILE.INC($H26:$H37,3)</f>
        <v>0.58188585607940446</v>
      </c>
      <c r="S24" s="159">
        <f>_xlfn.QUARTILE.INC($H26:$H37,4)</f>
        <v>1.3829787234042556</v>
      </c>
      <c r="T24" s="160"/>
    </row>
    <row r="25" spans="1:20" ht="15.6" thickBot="1" x14ac:dyDescent="0.35">
      <c r="A25" s="164" t="s">
        <v>63</v>
      </c>
      <c r="B25" s="12" t="s">
        <v>63</v>
      </c>
      <c r="C25" s="12">
        <v>22</v>
      </c>
      <c r="D25" s="146">
        <v>1.8097826086956521</v>
      </c>
      <c r="E25" s="145">
        <v>13.586956521739129</v>
      </c>
      <c r="F25" s="143">
        <v>2.7027027027027026</v>
      </c>
      <c r="G25" s="145">
        <v>9.2495636998254795</v>
      </c>
      <c r="H25" s="182">
        <f t="shared" si="0"/>
        <v>0.19891891891891894</v>
      </c>
      <c r="I25" s="183">
        <f t="shared" si="0"/>
        <v>3.4223385689354275</v>
      </c>
      <c r="J25" s="163" t="s">
        <v>475</v>
      </c>
      <c r="K25" s="163">
        <v>7.16</v>
      </c>
      <c r="M25" s="151" t="s">
        <v>486</v>
      </c>
      <c r="N25" s="152" t="s">
        <v>483</v>
      </c>
      <c r="O25" s="153" t="s">
        <v>484</v>
      </c>
      <c r="P25" s="154" t="s">
        <v>473</v>
      </c>
      <c r="Q25" s="155" t="s">
        <v>476</v>
      </c>
      <c r="R25" s="155" t="s">
        <v>478</v>
      </c>
      <c r="S25" s="154" t="s">
        <v>480</v>
      </c>
      <c r="T25" s="156" t="s">
        <v>484</v>
      </c>
    </row>
    <row r="26" spans="1:20" ht="15.6" thickBot="1" x14ac:dyDescent="0.35">
      <c r="A26" s="165" t="s">
        <v>487</v>
      </c>
      <c r="B26" s="12" t="s">
        <v>487</v>
      </c>
      <c r="C26" s="12">
        <v>23</v>
      </c>
      <c r="D26" s="146">
        <v>2.1186440677966103</v>
      </c>
      <c r="E26" s="145">
        <v>28.8135593220339</v>
      </c>
      <c r="F26" s="143">
        <v>5.6000000000000005</v>
      </c>
      <c r="G26" s="144">
        <v>16.40625</v>
      </c>
      <c r="H26" s="182">
        <f t="shared" si="0"/>
        <v>0.19435294117647059</v>
      </c>
      <c r="I26" s="183">
        <f t="shared" si="0"/>
        <v>2.9296874999999996</v>
      </c>
      <c r="J26" s="163" t="s">
        <v>475</v>
      </c>
      <c r="K26" s="163">
        <v>5.03</v>
      </c>
      <c r="M26" s="72" t="s">
        <v>147</v>
      </c>
      <c r="N26" s="158">
        <f>MEDIAN(I4:I13)</f>
        <v>3.9761009524972168</v>
      </c>
      <c r="P26" s="159">
        <f>_xlfn.QUARTILE.INC($I4:$I13,1)</f>
        <v>2.7664989599097525</v>
      </c>
      <c r="Q26" s="159">
        <f>_xlfn.QUARTILE.INC($I4:$I13,2)</f>
        <v>3.9761009524972168</v>
      </c>
      <c r="R26" s="159">
        <f>_xlfn.QUARTILE.INC($I4:$I13,3)</f>
        <v>8.5965045960328972</v>
      </c>
      <c r="S26" s="159">
        <f>_xlfn.QUARTILE.INC($I4:$I13,4)</f>
        <v>21.230046948356808</v>
      </c>
      <c r="T26" s="1"/>
    </row>
    <row r="27" spans="1:20" ht="15.6" thickBot="1" x14ac:dyDescent="0.35">
      <c r="A27" s="165" t="s">
        <v>487</v>
      </c>
      <c r="B27" s="12" t="s">
        <v>487</v>
      </c>
      <c r="C27" s="12">
        <v>24</v>
      </c>
      <c r="D27" s="146">
        <v>2.1617647058823528</v>
      </c>
      <c r="E27" s="145">
        <v>20.588235294117649</v>
      </c>
      <c r="F27" s="143">
        <v>4.7619047619047628</v>
      </c>
      <c r="G27" s="144">
        <v>15.259740259740258</v>
      </c>
      <c r="H27" s="182">
        <f t="shared" si="0"/>
        <v>0.23129251700680276</v>
      </c>
      <c r="I27" s="183">
        <f t="shared" si="0"/>
        <v>3.2045454545454537</v>
      </c>
      <c r="J27" s="163" t="s">
        <v>475</v>
      </c>
      <c r="K27" s="163">
        <v>6.69</v>
      </c>
      <c r="M27" s="72" t="s">
        <v>149</v>
      </c>
      <c r="N27" s="158">
        <f>MEDIAN(I15:I19)</f>
        <v>5.6874269005847955</v>
      </c>
      <c r="P27" s="159">
        <f>_xlfn.QUARTILE.INC($I15:$I19,1)</f>
        <v>2.300623052959502</v>
      </c>
      <c r="Q27" s="159">
        <f>_xlfn.QUARTILE.INC($I15:$I19,2)</f>
        <v>5.6874269005847955</v>
      </c>
      <c r="R27" s="159">
        <f>_xlfn.QUARTILE.INC($I15:$I19,3)</f>
        <v>6.0052503521577654</v>
      </c>
      <c r="S27" s="159">
        <f>_xlfn.QUARTILE.INC($I15:$I19,4)</f>
        <v>7.4166197183098586</v>
      </c>
      <c r="T27" s="1"/>
    </row>
    <row r="28" spans="1:20" ht="15.6" thickBot="1" x14ac:dyDescent="0.35">
      <c r="A28" s="165" t="s">
        <v>487</v>
      </c>
      <c r="B28" s="12" t="s">
        <v>487</v>
      </c>
      <c r="C28" s="12">
        <v>25</v>
      </c>
      <c r="D28" s="142">
        <v>3.2424242424242427</v>
      </c>
      <c r="E28" s="145">
        <v>7.5757575757575761</v>
      </c>
      <c r="F28" s="143">
        <v>1.8691588785046727</v>
      </c>
      <c r="G28" s="145">
        <v>11.458333333333334</v>
      </c>
      <c r="H28" s="182">
        <f t="shared" si="0"/>
        <v>0.24672897196261678</v>
      </c>
      <c r="I28" s="182">
        <f t="shared" si="0"/>
        <v>6.1302083333333348</v>
      </c>
      <c r="J28" s="163" t="s">
        <v>475</v>
      </c>
      <c r="K28" s="163">
        <v>6.76</v>
      </c>
      <c r="M28" s="72" t="s">
        <v>148</v>
      </c>
      <c r="N28" s="158">
        <f>MEDIAN(I20:I23)</f>
        <v>2.7357055309475289</v>
      </c>
      <c r="P28" s="159">
        <f>_xlfn.QUARTILE.INC($I20:$I23,1)</f>
        <v>2.5879061638001843</v>
      </c>
      <c r="Q28" s="159">
        <f>_xlfn.QUARTILE.INC($I20:$I23,2)</f>
        <v>2.7357055309475289</v>
      </c>
      <c r="R28" s="159">
        <f>_xlfn.QUARTILE.INC($I20:$I23,3)</f>
        <v>2.8402745454987626</v>
      </c>
      <c r="S28" s="159">
        <f>_xlfn.QUARTILE.INC($I20:$I23,4)</f>
        <v>3.0162810625535568</v>
      </c>
      <c r="T28" s="1"/>
    </row>
    <row r="29" spans="1:20" ht="15.6" thickBot="1" x14ac:dyDescent="0.35">
      <c r="A29" s="165" t="s">
        <v>487</v>
      </c>
      <c r="B29" s="12" t="s">
        <v>487</v>
      </c>
      <c r="C29" s="12">
        <v>26</v>
      </c>
      <c r="D29" s="142">
        <v>3.6229508196721301</v>
      </c>
      <c r="E29" s="145">
        <v>9.8360655737704921</v>
      </c>
      <c r="F29" s="143">
        <v>1.809954751131222</v>
      </c>
      <c r="G29" s="145">
        <v>10.658307210031349</v>
      </c>
      <c r="H29" s="182">
        <f t="shared" si="0"/>
        <v>0.18401206636500755</v>
      </c>
      <c r="I29" s="182">
        <f t="shared" si="0"/>
        <v>5.8887147335423196</v>
      </c>
      <c r="J29" s="163" t="s">
        <v>475</v>
      </c>
      <c r="K29" s="163">
        <v>4.92</v>
      </c>
      <c r="M29" s="72" t="s">
        <v>151</v>
      </c>
      <c r="N29" s="158">
        <f>MEDIAN(I24:I25)</f>
        <v>2.2018234900751903</v>
      </c>
      <c r="P29" s="159">
        <f>_xlfn.QUARTILE.INC($I24:$I25,1)</f>
        <v>1.5915659506450719</v>
      </c>
      <c r="Q29" s="159">
        <f>_xlfn.QUARTILE.INC($I24:$I25,2)</f>
        <v>2.2018234900751903</v>
      </c>
      <c r="R29" s="159">
        <f>_xlfn.QUARTILE.INC($I24:$I25,3)</f>
        <v>2.8120810295053094</v>
      </c>
      <c r="S29" s="159">
        <f>_xlfn.QUARTILE.INC($I24:$I25,4)</f>
        <v>3.4223385689354275</v>
      </c>
      <c r="T29" s="1"/>
    </row>
    <row r="30" spans="1:20" ht="29.4" customHeight="1" thickBot="1" x14ac:dyDescent="0.35">
      <c r="A30" s="165" t="s">
        <v>487</v>
      </c>
      <c r="B30" s="12" t="s">
        <v>487</v>
      </c>
      <c r="C30" s="12">
        <v>27</v>
      </c>
      <c r="D30" s="142">
        <v>3.5294117647058822</v>
      </c>
      <c r="E30" s="145">
        <v>4.7058823529411766</v>
      </c>
      <c r="F30" s="143">
        <v>3.3333333333333335</v>
      </c>
      <c r="G30" s="145">
        <v>1.9900497512437814</v>
      </c>
      <c r="H30" s="184">
        <f t="shared" si="0"/>
        <v>0.70833333333333337</v>
      </c>
      <c r="I30" s="184">
        <f t="shared" si="0"/>
        <v>0.59701492537313439</v>
      </c>
      <c r="J30" s="163" t="s">
        <v>485</v>
      </c>
      <c r="K30" s="163">
        <v>15.48</v>
      </c>
      <c r="M30" s="72" t="s">
        <v>150</v>
      </c>
      <c r="N30" s="158">
        <f>MEDIAN(I26:I37)</f>
        <v>1.46785316399287</v>
      </c>
      <c r="P30" s="159">
        <f>_xlfn.QUARTILE.INC($I26:$I37,1)</f>
        <v>1.1838061465721041</v>
      </c>
      <c r="Q30" s="159">
        <f>_xlfn.QUARTILE.INC($I26:$I37,2)</f>
        <v>1.46785316399287</v>
      </c>
      <c r="R30" s="159">
        <f>_xlfn.QUARTILE.INC($I26:$I37,3)</f>
        <v>2.9984019886363633</v>
      </c>
      <c r="S30" s="159">
        <f>_xlfn.QUARTILE.INC($I26:$I37,4)</f>
        <v>6.1302083333333348</v>
      </c>
    </row>
    <row r="31" spans="1:20" ht="30" customHeight="1" thickBot="1" x14ac:dyDescent="0.35">
      <c r="A31" s="165" t="s">
        <v>487</v>
      </c>
      <c r="B31" s="12" t="s">
        <v>487</v>
      </c>
      <c r="C31" s="12">
        <v>28</v>
      </c>
      <c r="D31" s="146">
        <v>1.6756756756756757</v>
      </c>
      <c r="E31" s="145">
        <v>2.7027027027027026</v>
      </c>
      <c r="F31" s="143">
        <v>1.6129032258064515</v>
      </c>
      <c r="G31" s="145">
        <v>2.1276595744680851</v>
      </c>
      <c r="H31" s="184">
        <f t="shared" si="0"/>
        <v>0.59677419354838712</v>
      </c>
      <c r="I31" s="184">
        <f t="shared" si="0"/>
        <v>1.3191489361702129</v>
      </c>
      <c r="J31" s="163" t="s">
        <v>485</v>
      </c>
      <c r="K31" s="163">
        <v>4.83</v>
      </c>
    </row>
    <row r="32" spans="1:20" ht="31.2" customHeight="1" thickBot="1" x14ac:dyDescent="0.35">
      <c r="A32" s="165" t="s">
        <v>487</v>
      </c>
      <c r="B32" s="12" t="s">
        <v>487</v>
      </c>
      <c r="C32" s="12">
        <v>29</v>
      </c>
      <c r="D32" s="166">
        <v>1.4461538461538461</v>
      </c>
      <c r="E32" s="167">
        <v>1.5384615384615383</v>
      </c>
      <c r="F32" s="143">
        <v>2.1276595744680855</v>
      </c>
      <c r="G32" s="145">
        <v>3.5714285714285712</v>
      </c>
      <c r="H32" s="184">
        <f t="shared" si="0"/>
        <v>1.3829787234042556</v>
      </c>
      <c r="I32" s="184">
        <f t="shared" si="0"/>
        <v>1.6785714285714282</v>
      </c>
      <c r="J32" s="163" t="s">
        <v>485</v>
      </c>
      <c r="K32" s="163">
        <v>10.79</v>
      </c>
      <c r="M32" s="151" t="s">
        <v>488</v>
      </c>
      <c r="N32" s="152" t="s">
        <v>483</v>
      </c>
      <c r="O32" s="153" t="s">
        <v>484</v>
      </c>
      <c r="P32" s="154" t="s">
        <v>473</v>
      </c>
      <c r="Q32" s="155" t="s">
        <v>476</v>
      </c>
      <c r="R32" s="155" t="s">
        <v>478</v>
      </c>
      <c r="S32" s="154" t="s">
        <v>480</v>
      </c>
      <c r="T32" s="156" t="s">
        <v>484</v>
      </c>
    </row>
    <row r="33" spans="1:20" ht="30" customHeight="1" thickBot="1" x14ac:dyDescent="0.35">
      <c r="A33" s="165" t="s">
        <v>487</v>
      </c>
      <c r="B33" s="12" t="s">
        <v>487</v>
      </c>
      <c r="C33" s="12">
        <v>30</v>
      </c>
      <c r="D33" s="146">
        <v>1.7333333333333334</v>
      </c>
      <c r="E33" s="145">
        <v>2.8571428571428572</v>
      </c>
      <c r="F33" s="143">
        <v>1.6483516483516485</v>
      </c>
      <c r="G33" s="145">
        <v>1.2820512820512819</v>
      </c>
      <c r="H33" s="184">
        <f t="shared" si="0"/>
        <v>0.57692307692307698</v>
      </c>
      <c r="I33" s="184">
        <f t="shared" si="0"/>
        <v>0.77777777777777768</v>
      </c>
      <c r="J33" s="163" t="s">
        <v>485</v>
      </c>
      <c r="K33" s="163">
        <v>5.16</v>
      </c>
      <c r="M33" s="72" t="s">
        <v>147</v>
      </c>
      <c r="N33" s="124">
        <f>MEDIAN(E4:E14)</f>
        <v>45.161290322580648</v>
      </c>
      <c r="P33" s="74">
        <f>_xlfn.QUARTILE.INC($E4:$E13,1)</f>
        <v>41.396103896103895</v>
      </c>
      <c r="Q33" s="74">
        <f>_xlfn.QUARTILE.INC($E4:$E13,2)</f>
        <v>45.950210378681625</v>
      </c>
      <c r="R33" s="74">
        <f>_xlfn.QUARTILE.INC($E4:$E13,3)</f>
        <v>52.106741573033702</v>
      </c>
      <c r="S33" s="74">
        <f>_xlfn.QUARTILE.INC($E4:$E13,4)</f>
        <v>70.408163265306129</v>
      </c>
      <c r="T33" s="160"/>
    </row>
    <row r="34" spans="1:20" ht="37.200000000000003" customHeight="1" thickBot="1" x14ac:dyDescent="0.35">
      <c r="A34" s="165" t="s">
        <v>487</v>
      </c>
      <c r="B34" s="12" t="s">
        <v>487</v>
      </c>
      <c r="C34" s="12">
        <v>31</v>
      </c>
      <c r="D34" s="146">
        <v>2.1290322580645165</v>
      </c>
      <c r="E34" s="145">
        <v>20.967741935483872</v>
      </c>
      <c r="F34" s="144">
        <v>6.0606060606060606</v>
      </c>
      <c r="G34" s="145">
        <v>9.4117647058823533</v>
      </c>
      <c r="H34" s="184">
        <f t="shared" si="0"/>
        <v>0.28904428904428903</v>
      </c>
      <c r="I34" s="184">
        <f t="shared" si="0"/>
        <v>1.5529411764705883</v>
      </c>
      <c r="J34" s="163" t="s">
        <v>485</v>
      </c>
      <c r="K34" s="163">
        <v>9.81</v>
      </c>
      <c r="M34" s="72" t="s">
        <v>149</v>
      </c>
      <c r="N34" s="124">
        <f>MEDIAN(E15:E19)</f>
        <v>57.692307692307686</v>
      </c>
      <c r="P34" s="74">
        <f>_xlfn.QUARTILE.INC($E15:$E19,1)</f>
        <v>51.428571428571438</v>
      </c>
      <c r="Q34" s="74">
        <f>_xlfn.QUARTILE.INC($E15:$E19,2)</f>
        <v>57.692307692307686</v>
      </c>
      <c r="R34" s="74">
        <f>_xlfn.QUARTILE.INC($E15:$E19,3)</f>
        <v>60.669456066945607</v>
      </c>
      <c r="S34" s="74">
        <f>_xlfn.QUARTILE.INC($E15:$E19,4)</f>
        <v>61.6580310880829</v>
      </c>
      <c r="T34" s="160"/>
    </row>
    <row r="35" spans="1:20" ht="31.2" customHeight="1" thickBot="1" x14ac:dyDescent="0.35">
      <c r="A35" s="165" t="s">
        <v>487</v>
      </c>
      <c r="B35" s="12" t="s">
        <v>487</v>
      </c>
      <c r="C35" s="12">
        <v>32</v>
      </c>
      <c r="D35" s="146">
        <v>2.3684210526315792</v>
      </c>
      <c r="E35" s="145">
        <v>3.1578947368421053</v>
      </c>
      <c r="F35" s="143">
        <v>1.3333333333333333</v>
      </c>
      <c r="G35" s="145">
        <v>0.76335877862595414</v>
      </c>
      <c r="H35" s="184">
        <f t="shared" si="0"/>
        <v>0.42222222222222217</v>
      </c>
      <c r="I35" s="184">
        <f t="shared" si="0"/>
        <v>0.5725190839694656</v>
      </c>
      <c r="J35" s="163" t="s">
        <v>485</v>
      </c>
      <c r="K35" s="163">
        <v>7.57</v>
      </c>
      <c r="M35" s="72" t="s">
        <v>148</v>
      </c>
      <c r="N35" s="124">
        <f>MEDIAN(E20:E23)</f>
        <v>25.761904761904759</v>
      </c>
      <c r="P35" s="74">
        <f>_xlfn.QUARTILE.INC($E20:$E23,1)</f>
        <v>16.235772357723576</v>
      </c>
      <c r="Q35" s="74">
        <f>_xlfn.QUARTILE.INC($E20:$E23,2)</f>
        <v>25.761904761904759</v>
      </c>
      <c r="R35" s="74">
        <f>_xlfn.QUARTILE.INC($E20:$E23,3)</f>
        <v>34.683840749414514</v>
      </c>
      <c r="S35" s="74">
        <f>_xlfn.QUARTILE.INC($E20:$E23,4)</f>
        <v>40.16393442622951</v>
      </c>
      <c r="T35" s="160"/>
    </row>
    <row r="36" spans="1:20" ht="35.4" customHeight="1" thickBot="1" x14ac:dyDescent="0.35">
      <c r="A36" s="165" t="s">
        <v>487</v>
      </c>
      <c r="B36" s="12" t="s">
        <v>487</v>
      </c>
      <c r="C36" s="12">
        <v>33</v>
      </c>
      <c r="D36" s="142">
        <v>3.0204081632653064</v>
      </c>
      <c r="E36" s="145">
        <v>14.965986394557824</v>
      </c>
      <c r="F36" s="143">
        <v>4.2792792792792795</v>
      </c>
      <c r="G36" s="145">
        <v>5.7093425605536332</v>
      </c>
      <c r="H36" s="184">
        <f t="shared" si="0"/>
        <v>0.28593366093366096</v>
      </c>
      <c r="I36" s="184">
        <f t="shared" si="0"/>
        <v>1.33418320888727</v>
      </c>
      <c r="J36" s="163" t="s">
        <v>485</v>
      </c>
      <c r="K36" s="163">
        <v>9.82</v>
      </c>
      <c r="M36" s="72" t="s">
        <v>151</v>
      </c>
      <c r="N36" s="124">
        <f>MEDIAN(D24:D25)</f>
        <v>1.1836523662947287</v>
      </c>
      <c r="P36" s="74">
        <f>_xlfn.QUARTILE.INC($E24:$E25,1)</f>
        <v>4.7241727587533662</v>
      </c>
      <c r="Q36" s="74">
        <f>_xlfn.QUARTILE.INC($E24:$E25,2)</f>
        <v>7.6784340130819535</v>
      </c>
      <c r="R36" s="74">
        <f>_xlfn.QUARTILE.INC($E24:$E25,3)</f>
        <v>10.632695267410542</v>
      </c>
      <c r="S36" s="74">
        <f>_xlfn.QUARTILE.INC($E24:$E25,4)</f>
        <v>13.586956521739129</v>
      </c>
      <c r="T36" s="160"/>
    </row>
    <row r="37" spans="1:20" ht="35.4" customHeight="1" thickBot="1" x14ac:dyDescent="0.35">
      <c r="A37" s="165" t="s">
        <v>487</v>
      </c>
      <c r="B37" s="12" t="s">
        <v>487</v>
      </c>
      <c r="C37" s="12">
        <v>34</v>
      </c>
      <c r="D37" s="187">
        <v>2.8932038834951457</v>
      </c>
      <c r="E37" s="168">
        <v>19.417475728155338</v>
      </c>
      <c r="F37" s="169">
        <v>8.0536912751677843</v>
      </c>
      <c r="G37" s="168">
        <v>11.136363636363637</v>
      </c>
      <c r="H37" s="185">
        <f t="shared" si="0"/>
        <v>0.41476510067114092</v>
      </c>
      <c r="I37" s="186">
        <f t="shared" si="0"/>
        <v>1.3827651515151518</v>
      </c>
      <c r="J37" s="163" t="s">
        <v>485</v>
      </c>
      <c r="K37" s="163">
        <v>6.16</v>
      </c>
      <c r="M37" s="72" t="s">
        <v>150</v>
      </c>
      <c r="N37" s="124">
        <f>MEDIAN(D26:D37)</f>
        <v>2.265092879256966</v>
      </c>
      <c r="P37" s="74">
        <f>_xlfn.QUARTILE.INC($E26:$E37,1)</f>
        <v>3.0827067669172932</v>
      </c>
      <c r="Q37" s="74">
        <f>_xlfn.QUARTILE.INC($E26:$E37,2)</f>
        <v>8.7059115747640341</v>
      </c>
      <c r="R37" s="74">
        <f>_xlfn.QUARTILE.INC($E26:$E37,3)</f>
        <v>19.710165619645917</v>
      </c>
      <c r="S37" s="74">
        <f>_xlfn.QUARTILE.INC($E26:$E37,4)</f>
        <v>28.8135593220339</v>
      </c>
      <c r="T37" s="160"/>
    </row>
    <row r="38" spans="1:20" x14ac:dyDescent="0.3">
      <c r="M38" s="151" t="s">
        <v>489</v>
      </c>
      <c r="N38" s="152" t="s">
        <v>483</v>
      </c>
      <c r="O38" s="153" t="s">
        <v>484</v>
      </c>
      <c r="P38" s="154" t="s">
        <v>473</v>
      </c>
      <c r="Q38" s="155" t="s">
        <v>476</v>
      </c>
      <c r="R38" s="155" t="s">
        <v>478</v>
      </c>
      <c r="S38" s="154" t="s">
        <v>480</v>
      </c>
      <c r="T38" s="156" t="s">
        <v>484</v>
      </c>
    </row>
    <row r="39" spans="1:20" ht="21" x14ac:dyDescent="0.4">
      <c r="B39" s="170"/>
      <c r="C39" s="170" t="s">
        <v>365</v>
      </c>
      <c r="D39" s="171" t="s">
        <v>490</v>
      </c>
      <c r="E39" s="23"/>
      <c r="M39" s="72" t="s">
        <v>147</v>
      </c>
      <c r="N39" s="124">
        <f>MEDIAN(F4:F14)</f>
        <v>5.0890585241730282</v>
      </c>
      <c r="P39" s="74">
        <f>_xlfn.QUARTILE.INC($F4:$F13,1)</f>
        <v>2.7854997294725647</v>
      </c>
      <c r="Q39" s="74">
        <f>_xlfn.QUARTILE.INC($F4:$F13,2)</f>
        <v>5.1915880856159262</v>
      </c>
      <c r="R39" s="74">
        <f>_xlfn.QUARTILE.INC($F4:$F13,3)</f>
        <v>6.4733687592684142</v>
      </c>
      <c r="S39" s="74">
        <f>_xlfn.QUARTILE.INC($F4:$F13,4)</f>
        <v>10.046728971962617</v>
      </c>
      <c r="T39" s="160"/>
    </row>
    <row r="40" spans="1:20" ht="15.6" x14ac:dyDescent="0.3">
      <c r="B40" s="172"/>
      <c r="C40" s="172" t="s">
        <v>491</v>
      </c>
      <c r="D40" s="171" t="s">
        <v>492</v>
      </c>
      <c r="H40" s="10"/>
      <c r="M40" s="72" t="s">
        <v>149</v>
      </c>
      <c r="N40" s="124">
        <f>MEDIAN(F15:F19)</f>
        <v>4.2918454935622314</v>
      </c>
      <c r="P40" s="74">
        <f>_xlfn.QUARTILE.INC($F15:$F19,1)</f>
        <v>3.7914691943127963</v>
      </c>
      <c r="Q40" s="74">
        <f>_xlfn.QUARTILE.INC($F15:$F19,2)</f>
        <v>4.2918454935622314</v>
      </c>
      <c r="R40" s="74">
        <f>_xlfn.QUARTILE.INC($F15:$F19,3)</f>
        <v>4.5783132530120483</v>
      </c>
      <c r="S40" s="74">
        <f>_xlfn.QUARTILE.INC($F15:$F19,4)</f>
        <v>12.443438914027151</v>
      </c>
      <c r="T40" s="160"/>
    </row>
    <row r="41" spans="1:20" x14ac:dyDescent="0.3">
      <c r="H41" s="10"/>
      <c r="M41" s="72" t="s">
        <v>148</v>
      </c>
      <c r="N41" s="124">
        <f>MEDIAN(F20:F23)</f>
        <v>3.4630322209436137</v>
      </c>
      <c r="P41" s="74">
        <f>_xlfn.QUARTILE.INC($F20:$F23,1)</f>
        <v>1.636832029977191</v>
      </c>
      <c r="Q41" s="74">
        <f>_xlfn.QUARTILE.INC($F20:$F23,2)</f>
        <v>3.4630322209436137</v>
      </c>
      <c r="R41" s="74">
        <f>_xlfn.QUARTILE.INC($F20:$F23,3)</f>
        <v>5.3944001100715466</v>
      </c>
      <c r="S41" s="74">
        <f>_xlfn.QUARTILE.INC($F20:$F23,4)</f>
        <v>5.9130434782608701</v>
      </c>
      <c r="T41" s="160"/>
    </row>
    <row r="42" spans="1:20" ht="21" x14ac:dyDescent="0.4">
      <c r="D42" s="147" t="s">
        <v>471</v>
      </c>
      <c r="E42"/>
      <c r="F42"/>
      <c r="G42"/>
      <c r="J42"/>
      <c r="K42"/>
      <c r="M42" s="72" t="s">
        <v>151</v>
      </c>
      <c r="N42" s="124">
        <f>MEDIAN(F24:F25)</f>
        <v>3.7323037323037322</v>
      </c>
      <c r="P42" s="74">
        <f>_xlfn.QUARTILE.INC($F24:$F25,1)</f>
        <v>3.2175032175032174</v>
      </c>
      <c r="Q42" s="74">
        <f>_xlfn.QUARTILE.INC($F24:$F25,2)</f>
        <v>3.7323037323037322</v>
      </c>
      <c r="R42" s="74">
        <f>_xlfn.QUARTILE.INC($F24:$F25,3)</f>
        <v>4.2471042471042466</v>
      </c>
      <c r="S42" s="74">
        <f>_xlfn.QUARTILE.INC($F24:$F25,4)</f>
        <v>4.7619047619047619</v>
      </c>
      <c r="T42" s="160"/>
    </row>
    <row r="43" spans="1:20" ht="21" x14ac:dyDescent="0.4">
      <c r="D43" s="147" t="s">
        <v>493</v>
      </c>
      <c r="E43" s="122"/>
      <c r="F43" s="122"/>
      <c r="G43" s="122"/>
      <c r="H43" s="122"/>
      <c r="I43" s="122"/>
      <c r="J43" s="122"/>
      <c r="K43" s="122"/>
      <c r="M43" s="72" t="s">
        <v>150</v>
      </c>
      <c r="N43" s="124">
        <f>MEDIAN(F26:F37)</f>
        <v>2.7304964539007095</v>
      </c>
      <c r="P43" s="74">
        <f>_xlfn.QUARTILE.INC($F26:$F37,1)</f>
        <v>1.7695539754363285</v>
      </c>
      <c r="Q43" s="74">
        <f>_xlfn.QUARTILE.INC($F26:$F37,2)</f>
        <v>2.7304964539007095</v>
      </c>
      <c r="R43" s="74">
        <f>_xlfn.QUARTILE.INC($F26:$F37,3)</f>
        <v>4.9714285714285724</v>
      </c>
      <c r="S43" s="74">
        <f>_xlfn.QUARTILE.INC($F26:$F37,4)</f>
        <v>8.0536912751677843</v>
      </c>
      <c r="T43" s="160"/>
    </row>
    <row r="44" spans="1:20" ht="60" customHeight="1" x14ac:dyDescent="0.3">
      <c r="D44" s="13"/>
      <c r="E44" s="173" t="s">
        <v>494</v>
      </c>
      <c r="F44" s="174" t="s">
        <v>495</v>
      </c>
      <c r="G44" s="174" t="s">
        <v>496</v>
      </c>
      <c r="H44" s="174" t="s">
        <v>497</v>
      </c>
      <c r="I44" s="175" t="s">
        <v>498</v>
      </c>
      <c r="J44" s="175" t="s">
        <v>499</v>
      </c>
      <c r="K44" s="175" t="s">
        <v>500</v>
      </c>
      <c r="M44" s="151" t="s">
        <v>501</v>
      </c>
      <c r="N44" s="152" t="s">
        <v>483</v>
      </c>
      <c r="O44" s="153" t="s">
        <v>484</v>
      </c>
      <c r="P44" s="154" t="s">
        <v>473</v>
      </c>
      <c r="Q44" s="155" t="s">
        <v>476</v>
      </c>
      <c r="R44" s="155" t="s">
        <v>478</v>
      </c>
      <c r="S44" s="154" t="s">
        <v>480</v>
      </c>
      <c r="T44" s="156" t="s">
        <v>484</v>
      </c>
    </row>
    <row r="45" spans="1:20" x14ac:dyDescent="0.3">
      <c r="D45" s="176" t="s">
        <v>147</v>
      </c>
      <c r="E45" s="177">
        <f>COUNTA(A4:A14)</f>
        <v>11</v>
      </c>
      <c r="F45" s="12">
        <f>COUNTA(F4:F14)</f>
        <v>11</v>
      </c>
      <c r="G45" s="12">
        <v>0</v>
      </c>
      <c r="H45" s="12">
        <v>0</v>
      </c>
      <c r="I45" s="178">
        <f>(F45)/($E$45)*100</f>
        <v>100</v>
      </c>
      <c r="J45" s="178">
        <f t="shared" ref="J45:K45" si="2">(G45)/($E$45)*100</f>
        <v>0</v>
      </c>
      <c r="K45" s="178">
        <f t="shared" si="2"/>
        <v>0</v>
      </c>
      <c r="M45" s="72" t="s">
        <v>147</v>
      </c>
      <c r="N45" s="124">
        <f>MEDIAN(G4:G14)</f>
        <v>20.924574209245741</v>
      </c>
      <c r="P45" s="74">
        <f>_xlfn.QUARTILE.INC($G4:$G13,1)</f>
        <v>15.451509887343576</v>
      </c>
      <c r="Q45" s="74">
        <f>_xlfn.QUARTILE.INC($G4:$G13,2)</f>
        <v>22.110384786807309</v>
      </c>
      <c r="R45" s="74">
        <f>_xlfn.QUARTILE.INC($G4:$G13,3)</f>
        <v>31.494919623900515</v>
      </c>
      <c r="S45" s="74">
        <f>_xlfn.QUARTILE.INC($G4:$G13,4)</f>
        <v>35.68075117370892</v>
      </c>
      <c r="T45" s="160"/>
    </row>
    <row r="46" spans="1:20" x14ac:dyDescent="0.3">
      <c r="D46" s="179" t="s">
        <v>149</v>
      </c>
      <c r="E46" s="141">
        <f>COUNTA(A15:A19)</f>
        <v>5</v>
      </c>
      <c r="F46" s="12">
        <f>COUNTA(F16,F19)</f>
        <v>2</v>
      </c>
      <c r="G46" s="12">
        <f>COUNTA(F15,F17:F18)</f>
        <v>3</v>
      </c>
      <c r="H46" s="12">
        <v>0</v>
      </c>
      <c r="I46" s="178">
        <f>(F46)/($E$46)*100</f>
        <v>40</v>
      </c>
      <c r="J46" s="178">
        <f t="shared" ref="J46:K46" si="3">(G46)/($E$46)*100</f>
        <v>60</v>
      </c>
      <c r="K46" s="178">
        <f t="shared" si="3"/>
        <v>0</v>
      </c>
      <c r="M46" s="72" t="s">
        <v>149</v>
      </c>
      <c r="N46" s="124">
        <f>MEDIAN(G15:G19)</f>
        <v>27.493917274939168</v>
      </c>
      <c r="P46" s="74">
        <f>_xlfn.QUARTILE.INC($G15:$G19,1)</f>
        <v>13.947368421052634</v>
      </c>
      <c r="Q46" s="74">
        <f>_xlfn.QUARTILE.INC($G15:$G19,2)</f>
        <v>27.493917274939168</v>
      </c>
      <c r="R46" s="74">
        <f>_xlfn.QUARTILE.INC($G15:$G19,3)</f>
        <v>28.328611898016998</v>
      </c>
      <c r="S46" s="74">
        <f>_xlfn.QUARTILE.INC($G15:$G19,4)</f>
        <v>31.830985915492953</v>
      </c>
      <c r="T46" s="160"/>
    </row>
    <row r="47" spans="1:20" x14ac:dyDescent="0.3">
      <c r="D47" s="179" t="s">
        <v>148</v>
      </c>
      <c r="E47" s="141">
        <f>COUNTA(A20:A23)</f>
        <v>4</v>
      </c>
      <c r="F47" s="12">
        <f>COUNTA(F20:F21)</f>
        <v>2</v>
      </c>
      <c r="G47" s="12">
        <f>COUNTA(F22)</f>
        <v>1</v>
      </c>
      <c r="H47" s="12">
        <f>COUNTA(F23)</f>
        <v>1</v>
      </c>
      <c r="I47" s="178">
        <f>(F47)/($E$47)*100</f>
        <v>50</v>
      </c>
      <c r="J47" s="178">
        <f t="shared" ref="J47:K47" si="4">(G47)/($E$47)*100</f>
        <v>25</v>
      </c>
      <c r="K47" s="178">
        <f t="shared" si="4"/>
        <v>25</v>
      </c>
      <c r="M47" s="72" t="s">
        <v>148</v>
      </c>
      <c r="N47" s="124">
        <f>MEDIAN(G20:G23)</f>
        <v>9.8327975932466707</v>
      </c>
      <c r="P47" s="74">
        <f>_xlfn.QUARTILE.INC($G20:$G23,1)</f>
        <v>4.6740370411258487</v>
      </c>
      <c r="Q47" s="74">
        <f>_xlfn.QUARTILE.INC($G20:$G23,2)</f>
        <v>9.8327975932466707</v>
      </c>
      <c r="R47" s="74">
        <f>_xlfn.QUARTILE.INC($G20:$G23,3)</f>
        <v>14.869389262420915</v>
      </c>
      <c r="S47" s="74">
        <f>_xlfn.QUARTILE.INC($G20:$G23,4)</f>
        <v>15.904936014625228</v>
      </c>
      <c r="T47" s="160"/>
    </row>
    <row r="48" spans="1:20" x14ac:dyDescent="0.3">
      <c r="D48" s="179" t="s">
        <v>150</v>
      </c>
      <c r="E48" s="141">
        <f>COUNTA(A26:A37)</f>
        <v>12</v>
      </c>
      <c r="F48" s="12">
        <v>0</v>
      </c>
      <c r="G48" s="12">
        <f>COUNTA(F26:F29)</f>
        <v>4</v>
      </c>
      <c r="H48" s="12">
        <f>COUNTA(F30:F37)</f>
        <v>8</v>
      </c>
      <c r="I48" s="178">
        <f>(F48)/($E$48)*100</f>
        <v>0</v>
      </c>
      <c r="J48" s="178">
        <f t="shared" ref="J48:K48" si="5">(G48)/($E$48)*100</f>
        <v>33.333333333333329</v>
      </c>
      <c r="K48" s="178">
        <f t="shared" si="5"/>
        <v>66.666666666666657</v>
      </c>
      <c r="M48" s="72" t="s">
        <v>151</v>
      </c>
      <c r="N48" s="124">
        <f>MEDIAN(G24:G25)</f>
        <v>6.9612304480435814</v>
      </c>
      <c r="P48" s="74">
        <f>_xlfn.QUARTILE.INC($G24:$G25,1)</f>
        <v>5.8170638221526314</v>
      </c>
      <c r="Q48" s="74">
        <f>_xlfn.QUARTILE.INC($G24:$G25,2)</f>
        <v>6.9612304480435814</v>
      </c>
      <c r="R48" s="74">
        <f>_xlfn.QUARTILE.INC($G24:$G25,3)</f>
        <v>8.1053970739345296</v>
      </c>
      <c r="S48" s="74">
        <f>_xlfn.QUARTILE.INC($G24:$G25,4)</f>
        <v>9.2495636998254795</v>
      </c>
      <c r="T48" s="160"/>
    </row>
    <row r="49" spans="4:20" x14ac:dyDescent="0.3">
      <c r="D49" s="179" t="s">
        <v>151</v>
      </c>
      <c r="E49" s="180">
        <f>COUNTA(A24:A25)</f>
        <v>2</v>
      </c>
      <c r="F49" s="17">
        <v>0</v>
      </c>
      <c r="G49" s="17">
        <f>COUNTA(F25)</f>
        <v>1</v>
      </c>
      <c r="H49" s="17">
        <f>COUNTA(F24)</f>
        <v>1</v>
      </c>
      <c r="I49" s="181">
        <f>(F49)/($E$49)*100</f>
        <v>0</v>
      </c>
      <c r="J49" s="181">
        <f t="shared" ref="J49:K49" si="6">(G49)/($E$49)*100</f>
        <v>50</v>
      </c>
      <c r="K49" s="181">
        <f t="shared" si="6"/>
        <v>50</v>
      </c>
      <c r="M49" s="72" t="s">
        <v>150</v>
      </c>
      <c r="N49" s="124">
        <f>MEDIAN(G26:G37)</f>
        <v>7.5605536332179932</v>
      </c>
      <c r="P49" s="74">
        <f>_xlfn.QUARTILE.INC($G26:$G37,1)</f>
        <v>2.093257118662009</v>
      </c>
      <c r="Q49" s="74">
        <f>_xlfn.QUARTILE.INC($G26:$G37,2)</f>
        <v>7.5605536332179932</v>
      </c>
      <c r="R49" s="74">
        <f>_xlfn.QUARTILE.INC($G26:$G37,3)</f>
        <v>11.216856060606061</v>
      </c>
      <c r="S49" s="74">
        <f>_xlfn.QUARTILE.INC($G26:$G37,4)</f>
        <v>16.40625</v>
      </c>
      <c r="T49" s="160"/>
    </row>
    <row r="51" spans="4:20" x14ac:dyDescent="0.3">
      <c r="M51" s="151" t="s">
        <v>457</v>
      </c>
      <c r="N51" s="152" t="s">
        <v>483</v>
      </c>
      <c r="O51" s="153" t="s">
        <v>484</v>
      </c>
      <c r="P51" s="154" t="s">
        <v>473</v>
      </c>
      <c r="Q51" s="155" t="s">
        <v>476</v>
      </c>
      <c r="R51" s="155" t="s">
        <v>478</v>
      </c>
      <c r="S51" s="154" t="s">
        <v>480</v>
      </c>
      <c r="T51" s="156" t="s">
        <v>484</v>
      </c>
    </row>
    <row r="52" spans="4:20" x14ac:dyDescent="0.3">
      <c r="M52" s="72" t="s">
        <v>147</v>
      </c>
      <c r="N52" s="124">
        <f>MEDIAN(D4:D14)</f>
        <v>3.1703703703703701</v>
      </c>
      <c r="P52" s="74">
        <f>_xlfn.QUARTILE.INC($D4:$D14,1)</f>
        <v>2.8999829273844755</v>
      </c>
      <c r="Q52" s="74">
        <f>_xlfn.QUARTILE.INC($D4:$D14,2)</f>
        <v>3.1703703703703701</v>
      </c>
      <c r="R52" s="74">
        <f>_xlfn.QUARTILE.INC($D4:$D14,3)</f>
        <v>4.5225048923679063</v>
      </c>
      <c r="S52" s="74">
        <f>_xlfn.QUARTILE.INC($D4:$D14,4)</f>
        <v>4.661290322580645</v>
      </c>
      <c r="T52" s="160"/>
    </row>
    <row r="53" spans="4:20" x14ac:dyDescent="0.3">
      <c r="M53" s="72" t="s">
        <v>149</v>
      </c>
      <c r="N53" s="124">
        <f>MEDIAN(D15:D19)</f>
        <v>2.2901554404145079</v>
      </c>
      <c r="P53" s="74">
        <f>_xlfn.QUARTILE.INC($D15:$D19,1)</f>
        <v>1.9951923076923077</v>
      </c>
      <c r="Q53" s="74">
        <f>_xlfn.QUARTILE.INC($D15:$D19,2)</f>
        <v>2.2901554404145079</v>
      </c>
      <c r="R53" s="74">
        <f>_xlfn.QUARTILE.INC($D15:$D19,3)</f>
        <v>3.2477876106194694</v>
      </c>
      <c r="S53" s="74">
        <f>_xlfn.QUARTILE.INC($D15:$D19,4)</f>
        <v>3.3285714285714287</v>
      </c>
      <c r="T53" s="160"/>
    </row>
    <row r="54" spans="4:20" x14ac:dyDescent="0.3">
      <c r="M54" s="72" t="s">
        <v>148</v>
      </c>
      <c r="N54" s="124">
        <f>MEDIAN(D20:D23)</f>
        <v>2.4684153005464484</v>
      </c>
      <c r="P54" s="74">
        <f>_xlfn.QUARTILE.INC($D20:$D23,1)</f>
        <v>2.3270731707317074</v>
      </c>
      <c r="Q54" s="74">
        <f>_xlfn.QUARTILE.INC($D20:$D23,2)</f>
        <v>2.4684153005464484</v>
      </c>
      <c r="R54" s="74">
        <f>_xlfn.QUARTILE.INC($D20:$D23,3)</f>
        <v>2.6271467603434817</v>
      </c>
      <c r="S54" s="74">
        <f>_xlfn.QUARTILE.INC($D20:$D23,4)</f>
        <v>2.7380952380952381</v>
      </c>
      <c r="T54" s="160"/>
    </row>
    <row r="55" spans="4:20" x14ac:dyDescent="0.3">
      <c r="M55" s="72" t="s">
        <v>151</v>
      </c>
      <c r="N55" s="124">
        <f>MEDIAN(D24:D25)</f>
        <v>1.1836523662947287</v>
      </c>
      <c r="P55" s="74">
        <f>_xlfn.QUARTILE.INC($D24:$D25,1)</f>
        <v>0.8705872450942671</v>
      </c>
      <c r="Q55" s="74">
        <f>_xlfn.QUARTILE.INC($D24:$D25,2)</f>
        <v>1.1836523662947287</v>
      </c>
      <c r="R55" s="74">
        <f>_xlfn.QUARTILE.INC($D24:$D25,3)</f>
        <v>1.4967174874951905</v>
      </c>
      <c r="S55" s="74">
        <f>_xlfn.QUARTILE.INC($D24:$D25,4)</f>
        <v>1.8097826086956521</v>
      </c>
      <c r="T55" s="160"/>
    </row>
    <row r="56" spans="4:20" x14ac:dyDescent="0.3">
      <c r="M56" s="72" t="s">
        <v>150</v>
      </c>
      <c r="N56" s="124">
        <f>MEDIAN(D26:D37)</f>
        <v>2.265092879256966</v>
      </c>
      <c r="P56" s="74">
        <f>_xlfn.QUARTILE.INC($D26:$D37,1)</f>
        <v>2.0223163841807912</v>
      </c>
      <c r="Q56" s="74">
        <f>_xlfn.QUARTILE.INC($D26:$D37,2)</f>
        <v>2.265092879256966</v>
      </c>
      <c r="R56" s="74">
        <f>_xlfn.QUARTILE.INC($D26:$D37,3)</f>
        <v>3.0759121830550402</v>
      </c>
      <c r="S56" s="74">
        <f>_xlfn.QUARTILE.INC($D26:$D37,4)</f>
        <v>3.6229508196721301</v>
      </c>
      <c r="T56" s="160"/>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0D945-AAD0-466D-BF4A-F7D553ABB9CF}">
  <sheetPr>
    <tabColor theme="5" tint="0.79998168889431442"/>
  </sheetPr>
  <dimension ref="A1:G110"/>
  <sheetViews>
    <sheetView workbookViewId="0">
      <selection activeCell="D9" sqref="D9"/>
    </sheetView>
  </sheetViews>
  <sheetFormatPr defaultRowHeight="14.4" x14ac:dyDescent="0.3"/>
  <cols>
    <col min="1" max="1" width="21.77734375" bestFit="1" customWidth="1"/>
    <col min="2" max="2" width="46.44140625" style="24" bestFit="1" customWidth="1"/>
    <col min="3" max="3" width="170.5546875" bestFit="1" customWidth="1"/>
    <col min="4" max="4" width="44.88671875" bestFit="1" customWidth="1"/>
    <col min="5" max="5" width="78.6640625" customWidth="1"/>
    <col min="6" max="6" width="18.77734375" customWidth="1"/>
    <col min="7" max="7" width="11.109375" style="9" customWidth="1"/>
  </cols>
  <sheetData>
    <row r="1" spans="1:7" x14ac:dyDescent="0.3">
      <c r="A1" s="96" t="s">
        <v>368</v>
      </c>
      <c r="B1" s="96" t="s">
        <v>14</v>
      </c>
      <c r="C1" s="3" t="s">
        <v>15</v>
      </c>
      <c r="D1" s="3" t="s">
        <v>16</v>
      </c>
      <c r="E1" s="3" t="s">
        <v>17</v>
      </c>
      <c r="F1" s="3" t="s">
        <v>18</v>
      </c>
      <c r="G1" s="22" t="s">
        <v>43</v>
      </c>
    </row>
    <row r="2" spans="1:7" ht="14.4" customHeight="1" x14ac:dyDescent="0.3">
      <c r="A2" s="206" t="s">
        <v>381</v>
      </c>
      <c r="B2" s="24" t="s">
        <v>19</v>
      </c>
      <c r="C2" t="s">
        <v>631</v>
      </c>
      <c r="D2" t="s">
        <v>19</v>
      </c>
      <c r="F2" t="s">
        <v>20</v>
      </c>
    </row>
    <row r="3" spans="1:7" x14ac:dyDescent="0.3">
      <c r="A3" s="205"/>
      <c r="B3" s="24" t="s">
        <v>514</v>
      </c>
      <c r="C3" t="s">
        <v>517</v>
      </c>
      <c r="D3" t="s">
        <v>518</v>
      </c>
      <c r="E3" t="s">
        <v>519</v>
      </c>
      <c r="F3" t="s">
        <v>24</v>
      </c>
      <c r="G3" s="9" t="s">
        <v>44</v>
      </c>
    </row>
    <row r="4" spans="1:7" x14ac:dyDescent="0.3">
      <c r="A4" s="205"/>
      <c r="B4" s="58" t="s">
        <v>86</v>
      </c>
      <c r="C4" s="59" t="s">
        <v>90</v>
      </c>
      <c r="D4" s="59" t="s">
        <v>89</v>
      </c>
      <c r="E4" s="59" t="s">
        <v>91</v>
      </c>
      <c r="F4" t="s">
        <v>24</v>
      </c>
      <c r="G4" s="9" t="s">
        <v>44</v>
      </c>
    </row>
    <row r="5" spans="1:7" x14ac:dyDescent="0.3">
      <c r="A5" s="205"/>
      <c r="B5" s="58" t="s">
        <v>171</v>
      </c>
      <c r="C5" s="59" t="s">
        <v>172</v>
      </c>
      <c r="D5" s="59" t="s">
        <v>94</v>
      </c>
      <c r="E5" s="59" t="s">
        <v>95</v>
      </c>
      <c r="F5" t="s">
        <v>24</v>
      </c>
      <c r="G5" s="9" t="s">
        <v>44</v>
      </c>
    </row>
    <row r="6" spans="1:7" x14ac:dyDescent="0.3">
      <c r="A6" s="205"/>
      <c r="B6" s="58" t="s">
        <v>330</v>
      </c>
      <c r="C6" s="59" t="s">
        <v>378</v>
      </c>
      <c r="D6" s="59" t="s">
        <v>330</v>
      </c>
      <c r="E6" s="59"/>
      <c r="F6" t="s">
        <v>379</v>
      </c>
      <c r="G6" s="9" t="s">
        <v>380</v>
      </c>
    </row>
    <row r="7" spans="1:7" x14ac:dyDescent="0.3">
      <c r="A7" s="205"/>
      <c r="B7" s="24" t="s">
        <v>2</v>
      </c>
      <c r="C7" t="s">
        <v>25</v>
      </c>
      <c r="D7" t="s">
        <v>2</v>
      </c>
      <c r="E7" s="6" t="s">
        <v>93</v>
      </c>
      <c r="F7" t="s">
        <v>24</v>
      </c>
      <c r="G7" s="9" t="s">
        <v>44</v>
      </c>
    </row>
    <row r="8" spans="1:7" x14ac:dyDescent="0.3">
      <c r="A8" s="205"/>
      <c r="B8" s="24" t="s">
        <v>38</v>
      </c>
      <c r="C8" t="s">
        <v>45</v>
      </c>
      <c r="D8" s="207" t="s">
        <v>641</v>
      </c>
      <c r="E8" s="207" t="s">
        <v>641</v>
      </c>
      <c r="F8" t="s">
        <v>24</v>
      </c>
      <c r="G8" s="9" t="s">
        <v>44</v>
      </c>
    </row>
    <row r="9" spans="1:7" x14ac:dyDescent="0.3">
      <c r="A9" s="205"/>
      <c r="B9" s="24" t="s">
        <v>39</v>
      </c>
      <c r="C9" s="9" t="s">
        <v>46</v>
      </c>
      <c r="D9" t="s">
        <v>39</v>
      </c>
      <c r="F9" t="s">
        <v>27</v>
      </c>
      <c r="G9" s="23" t="s">
        <v>47</v>
      </c>
    </row>
    <row r="10" spans="1:7" x14ac:dyDescent="0.3">
      <c r="A10" s="205"/>
      <c r="B10" s="24" t="s">
        <v>5</v>
      </c>
      <c r="C10" t="s">
        <v>5</v>
      </c>
      <c r="D10" s="207" t="s">
        <v>641</v>
      </c>
      <c r="E10" s="207" t="s">
        <v>641</v>
      </c>
      <c r="F10" t="s">
        <v>24</v>
      </c>
      <c r="G10" s="9" t="s">
        <v>44</v>
      </c>
    </row>
    <row r="11" spans="1:7" x14ac:dyDescent="0.3">
      <c r="A11" s="205"/>
      <c r="B11" s="24" t="s">
        <v>41</v>
      </c>
      <c r="C11" t="s">
        <v>48</v>
      </c>
      <c r="D11" t="s">
        <v>49</v>
      </c>
      <c r="E11" s="27" t="s">
        <v>50</v>
      </c>
      <c r="F11" t="s">
        <v>24</v>
      </c>
      <c r="G11" s="9" t="s">
        <v>44</v>
      </c>
    </row>
    <row r="12" spans="1:7" x14ac:dyDescent="0.3">
      <c r="A12" s="205"/>
      <c r="B12" s="24" t="s">
        <v>8</v>
      </c>
      <c r="C12" t="s">
        <v>29</v>
      </c>
      <c r="D12" s="207" t="s">
        <v>641</v>
      </c>
      <c r="E12" s="207" t="s">
        <v>641</v>
      </c>
      <c r="F12" t="s">
        <v>24</v>
      </c>
      <c r="G12" s="9" t="s">
        <v>44</v>
      </c>
    </row>
    <row r="13" spans="1:7" x14ac:dyDescent="0.3">
      <c r="A13" s="205"/>
      <c r="B13" s="58" t="s">
        <v>184</v>
      </c>
      <c r="C13" s="6" t="s">
        <v>232</v>
      </c>
      <c r="D13" t="s">
        <v>184</v>
      </c>
      <c r="F13" s="23" t="s">
        <v>27</v>
      </c>
      <c r="G13" s="23" t="s">
        <v>47</v>
      </c>
    </row>
    <row r="14" spans="1:7" x14ac:dyDescent="0.3">
      <c r="A14" s="205"/>
      <c r="B14" s="58" t="s">
        <v>185</v>
      </c>
      <c r="C14" s="6" t="s">
        <v>235</v>
      </c>
      <c r="D14" t="s">
        <v>185</v>
      </c>
      <c r="F14" s="23" t="s">
        <v>27</v>
      </c>
      <c r="G14" s="23" t="s">
        <v>47</v>
      </c>
    </row>
    <row r="15" spans="1:7" x14ac:dyDescent="0.3">
      <c r="A15" s="205"/>
      <c r="B15" s="58" t="s">
        <v>193</v>
      </c>
      <c r="C15" s="6" t="s">
        <v>238</v>
      </c>
      <c r="D15" t="s">
        <v>193</v>
      </c>
      <c r="F15" s="23" t="s">
        <v>27</v>
      </c>
      <c r="G15" s="23" t="s">
        <v>47</v>
      </c>
    </row>
    <row r="16" spans="1:7" x14ac:dyDescent="0.3">
      <c r="A16" s="205"/>
      <c r="B16" s="58" t="s">
        <v>187</v>
      </c>
      <c r="C16" s="6" t="s">
        <v>233</v>
      </c>
      <c r="D16" t="s">
        <v>187</v>
      </c>
      <c r="F16" s="23" t="s">
        <v>27</v>
      </c>
      <c r="G16" s="23" t="s">
        <v>47</v>
      </c>
    </row>
    <row r="17" spans="1:7" x14ac:dyDescent="0.3">
      <c r="A17" s="205"/>
      <c r="B17" s="58" t="s">
        <v>188</v>
      </c>
      <c r="C17" s="6" t="s">
        <v>236</v>
      </c>
      <c r="D17" t="s">
        <v>188</v>
      </c>
      <c r="F17" s="23" t="s">
        <v>27</v>
      </c>
      <c r="G17" s="23" t="s">
        <v>47</v>
      </c>
    </row>
    <row r="18" spans="1:7" x14ac:dyDescent="0.3">
      <c r="A18" s="205"/>
      <c r="B18" s="58" t="s">
        <v>189</v>
      </c>
      <c r="C18" s="6" t="s">
        <v>239</v>
      </c>
      <c r="D18" t="s">
        <v>189</v>
      </c>
      <c r="F18" s="23" t="s">
        <v>27</v>
      </c>
      <c r="G18" s="23" t="s">
        <v>47</v>
      </c>
    </row>
    <row r="19" spans="1:7" x14ac:dyDescent="0.3">
      <c r="A19" s="205"/>
      <c r="B19" s="58" t="s">
        <v>190</v>
      </c>
      <c r="C19" s="6" t="s">
        <v>234</v>
      </c>
      <c r="D19" t="s">
        <v>190</v>
      </c>
      <c r="F19" s="23" t="s">
        <v>27</v>
      </c>
      <c r="G19" s="23" t="s">
        <v>47</v>
      </c>
    </row>
    <row r="20" spans="1:7" x14ac:dyDescent="0.3">
      <c r="A20" s="205"/>
      <c r="B20" s="58" t="s">
        <v>191</v>
      </c>
      <c r="C20" s="6" t="s">
        <v>237</v>
      </c>
      <c r="D20" t="s">
        <v>191</v>
      </c>
      <c r="F20" s="23" t="s">
        <v>27</v>
      </c>
      <c r="G20" s="23" t="s">
        <v>47</v>
      </c>
    </row>
    <row r="21" spans="1:7" x14ac:dyDescent="0.3">
      <c r="A21" s="205"/>
      <c r="B21" s="58" t="s">
        <v>194</v>
      </c>
      <c r="C21" s="6" t="s">
        <v>240</v>
      </c>
      <c r="D21" t="s">
        <v>194</v>
      </c>
      <c r="F21" s="23" t="s">
        <v>27</v>
      </c>
      <c r="G21" s="23" t="s">
        <v>47</v>
      </c>
    </row>
    <row r="22" spans="1:7" x14ac:dyDescent="0.3">
      <c r="A22" s="205"/>
      <c r="B22" s="28" t="s">
        <v>195</v>
      </c>
      <c r="C22" s="25" t="s">
        <v>131</v>
      </c>
      <c r="D22" s="29" t="s">
        <v>40</v>
      </c>
      <c r="E22" s="23"/>
      <c r="F22" s="23" t="s">
        <v>27</v>
      </c>
      <c r="G22" s="23" t="s">
        <v>47</v>
      </c>
    </row>
    <row r="23" spans="1:7" x14ac:dyDescent="0.3">
      <c r="A23" s="205"/>
      <c r="B23" s="97" t="s">
        <v>196</v>
      </c>
      <c r="C23" s="27" t="s">
        <v>129</v>
      </c>
      <c r="D23" s="6" t="s">
        <v>113</v>
      </c>
      <c r="F23" s="23" t="s">
        <v>27</v>
      </c>
      <c r="G23" s="23" t="s">
        <v>47</v>
      </c>
    </row>
    <row r="24" spans="1:7" x14ac:dyDescent="0.3">
      <c r="A24" s="205"/>
      <c r="B24" s="97" t="s">
        <v>197</v>
      </c>
      <c r="C24" s="27" t="s">
        <v>130</v>
      </c>
      <c r="D24" s="6" t="s">
        <v>117</v>
      </c>
      <c r="F24" s="23" t="s">
        <v>27</v>
      </c>
      <c r="G24" s="23" t="s">
        <v>47</v>
      </c>
    </row>
    <row r="25" spans="1:7" x14ac:dyDescent="0.3">
      <c r="A25" s="205"/>
      <c r="B25" s="97" t="s">
        <v>198</v>
      </c>
      <c r="C25" s="6" t="s">
        <v>132</v>
      </c>
      <c r="D25" s="6" t="s">
        <v>115</v>
      </c>
      <c r="F25" s="23" t="s">
        <v>27</v>
      </c>
      <c r="G25" s="23" t="s">
        <v>47</v>
      </c>
    </row>
    <row r="26" spans="1:7" x14ac:dyDescent="0.3">
      <c r="A26" s="205"/>
      <c r="B26" s="97" t="s">
        <v>199</v>
      </c>
      <c r="C26" s="6" t="s">
        <v>133</v>
      </c>
      <c r="D26" s="6" t="s">
        <v>124</v>
      </c>
      <c r="F26" s="23" t="s">
        <v>27</v>
      </c>
      <c r="G26" s="23" t="s">
        <v>47</v>
      </c>
    </row>
    <row r="27" spans="1:7" x14ac:dyDescent="0.3">
      <c r="A27" s="205"/>
      <c r="B27" s="97" t="s">
        <v>200</v>
      </c>
      <c r="C27" s="30" t="s">
        <v>134</v>
      </c>
      <c r="D27" s="6" t="s">
        <v>119</v>
      </c>
      <c r="F27" s="23" t="s">
        <v>27</v>
      </c>
      <c r="G27" s="23" t="s">
        <v>47</v>
      </c>
    </row>
    <row r="28" spans="1:7" x14ac:dyDescent="0.3">
      <c r="A28" s="205"/>
      <c r="B28" s="97" t="s">
        <v>201</v>
      </c>
      <c r="C28" s="6" t="s">
        <v>253</v>
      </c>
      <c r="D28" s="6" t="s">
        <v>116</v>
      </c>
      <c r="F28" s="23" t="s">
        <v>27</v>
      </c>
      <c r="G28" s="23" t="s">
        <v>47</v>
      </c>
    </row>
    <row r="29" spans="1:7" x14ac:dyDescent="0.3">
      <c r="A29" s="205"/>
      <c r="B29" s="97" t="s">
        <v>203</v>
      </c>
      <c r="C29" s="27" t="s">
        <v>254</v>
      </c>
      <c r="D29" s="6" t="s">
        <v>125</v>
      </c>
      <c r="F29" s="23" t="s">
        <v>27</v>
      </c>
      <c r="G29" s="23" t="s">
        <v>47</v>
      </c>
    </row>
    <row r="30" spans="1:7" x14ac:dyDescent="0.3">
      <c r="A30" s="205"/>
      <c r="B30" s="97" t="s">
        <v>204</v>
      </c>
      <c r="C30" s="27" t="s">
        <v>255</v>
      </c>
      <c r="D30" s="6" t="s">
        <v>120</v>
      </c>
      <c r="F30" s="23" t="s">
        <v>27</v>
      </c>
      <c r="G30" s="23" t="s">
        <v>47</v>
      </c>
    </row>
    <row r="31" spans="1:7" x14ac:dyDescent="0.3">
      <c r="A31" s="205"/>
      <c r="B31" s="97" t="s">
        <v>112</v>
      </c>
      <c r="C31" s="6" t="s">
        <v>128</v>
      </c>
      <c r="D31" s="6" t="s">
        <v>112</v>
      </c>
      <c r="F31" s="23" t="s">
        <v>27</v>
      </c>
      <c r="G31" s="23" t="s">
        <v>47</v>
      </c>
    </row>
    <row r="32" spans="1:7" x14ac:dyDescent="0.3">
      <c r="A32" s="205"/>
      <c r="B32" s="97" t="s">
        <v>175</v>
      </c>
      <c r="C32" s="6" t="s">
        <v>259</v>
      </c>
      <c r="D32" s="6" t="s">
        <v>114</v>
      </c>
      <c r="F32" s="23" t="s">
        <v>27</v>
      </c>
      <c r="G32" s="23" t="s">
        <v>47</v>
      </c>
    </row>
    <row r="33" spans="1:7" x14ac:dyDescent="0.3">
      <c r="A33" s="205"/>
      <c r="B33" s="97" t="s">
        <v>176</v>
      </c>
      <c r="C33" s="27" t="s">
        <v>260</v>
      </c>
      <c r="D33" s="6" t="s">
        <v>123</v>
      </c>
      <c r="F33" s="23" t="s">
        <v>27</v>
      </c>
      <c r="G33" s="23" t="s">
        <v>47</v>
      </c>
    </row>
    <row r="34" spans="1:7" x14ac:dyDescent="0.3">
      <c r="A34" s="205"/>
      <c r="B34" s="97" t="s">
        <v>177</v>
      </c>
      <c r="C34" s="6" t="s">
        <v>261</v>
      </c>
      <c r="D34" s="6" t="s">
        <v>118</v>
      </c>
      <c r="F34" s="23" t="s">
        <v>27</v>
      </c>
      <c r="G34" s="23" t="s">
        <v>47</v>
      </c>
    </row>
    <row r="35" spans="1:7" x14ac:dyDescent="0.3">
      <c r="A35" s="205"/>
      <c r="B35" s="97" t="s">
        <v>507</v>
      </c>
      <c r="C35" s="6" t="s">
        <v>510</v>
      </c>
      <c r="D35" s="6"/>
      <c r="F35" s="23"/>
      <c r="G35" s="23"/>
    </row>
    <row r="36" spans="1:7" s="34" customFormat="1" x14ac:dyDescent="0.3">
      <c r="A36" s="205"/>
      <c r="B36" s="58" t="s">
        <v>241</v>
      </c>
      <c r="C36" s="95" t="s">
        <v>262</v>
      </c>
      <c r="D36" s="95" t="s">
        <v>241</v>
      </c>
      <c r="F36" s="23" t="s">
        <v>27</v>
      </c>
      <c r="G36" s="23" t="s">
        <v>47</v>
      </c>
    </row>
    <row r="37" spans="1:7" s="34" customFormat="1" x14ac:dyDescent="0.3">
      <c r="A37" s="205"/>
      <c r="B37" s="58" t="s">
        <v>242</v>
      </c>
      <c r="C37" s="95" t="s">
        <v>263</v>
      </c>
      <c r="D37" s="95" t="s">
        <v>242</v>
      </c>
      <c r="F37" s="23" t="s">
        <v>27</v>
      </c>
      <c r="G37" s="23" t="s">
        <v>47</v>
      </c>
    </row>
    <row r="38" spans="1:7" s="34" customFormat="1" x14ac:dyDescent="0.3">
      <c r="A38" s="205"/>
      <c r="B38" s="58" t="s">
        <v>243</v>
      </c>
      <c r="C38" s="95" t="s">
        <v>264</v>
      </c>
      <c r="D38" s="95" t="s">
        <v>243</v>
      </c>
      <c r="F38" s="23" t="s">
        <v>27</v>
      </c>
      <c r="G38" s="23" t="s">
        <v>47</v>
      </c>
    </row>
    <row r="39" spans="1:7" s="34" customFormat="1" x14ac:dyDescent="0.3">
      <c r="A39" s="205"/>
      <c r="B39" s="58" t="s">
        <v>244</v>
      </c>
      <c r="C39" s="95" t="s">
        <v>265</v>
      </c>
      <c r="D39" s="95" t="s">
        <v>244</v>
      </c>
      <c r="F39" s="23" t="s">
        <v>27</v>
      </c>
      <c r="G39" s="23" t="s">
        <v>47</v>
      </c>
    </row>
    <row r="40" spans="1:7" s="34" customFormat="1" x14ac:dyDescent="0.3">
      <c r="A40" s="205"/>
      <c r="B40" s="58" t="s">
        <v>508</v>
      </c>
      <c r="C40" s="6" t="s">
        <v>511</v>
      </c>
      <c r="D40" s="95"/>
      <c r="F40" s="23"/>
      <c r="G40" s="23"/>
    </row>
    <row r="41" spans="1:7" s="34" customFormat="1" x14ac:dyDescent="0.3">
      <c r="A41" s="205"/>
      <c r="B41" s="58" t="s">
        <v>509</v>
      </c>
      <c r="C41" s="6" t="s">
        <v>512</v>
      </c>
      <c r="D41" s="95"/>
      <c r="F41" s="23"/>
      <c r="G41" s="23"/>
    </row>
    <row r="42" spans="1:7" s="23" customFormat="1" x14ac:dyDescent="0.3">
      <c r="A42" s="205"/>
      <c r="B42" s="28" t="s">
        <v>126</v>
      </c>
      <c r="C42" s="25" t="s">
        <v>181</v>
      </c>
      <c r="D42" s="29" t="s">
        <v>126</v>
      </c>
      <c r="F42" s="23" t="s">
        <v>27</v>
      </c>
      <c r="G42" s="23" t="s">
        <v>47</v>
      </c>
    </row>
    <row r="43" spans="1:7" x14ac:dyDescent="0.3">
      <c r="A43" s="205"/>
      <c r="B43" s="28" t="s">
        <v>121</v>
      </c>
      <c r="C43" s="25" t="s">
        <v>182</v>
      </c>
      <c r="D43" s="29" t="s">
        <v>121</v>
      </c>
      <c r="F43" s="23" t="s">
        <v>27</v>
      </c>
      <c r="G43" s="23" t="s">
        <v>47</v>
      </c>
    </row>
    <row r="44" spans="1:7" x14ac:dyDescent="0.3">
      <c r="A44" s="205"/>
      <c r="B44" s="24" t="s">
        <v>321</v>
      </c>
      <c r="C44" s="25" t="s">
        <v>627</v>
      </c>
      <c r="D44" s="23" t="s">
        <v>626</v>
      </c>
      <c r="F44" s="23" t="s">
        <v>27</v>
      </c>
      <c r="G44" s="23" t="s">
        <v>47</v>
      </c>
    </row>
    <row r="45" spans="1:7" x14ac:dyDescent="0.3">
      <c r="A45" s="205"/>
      <c r="B45" s="58" t="s">
        <v>326</v>
      </c>
      <c r="C45" s="99" t="s">
        <v>629</v>
      </c>
      <c r="D45" s="95" t="s">
        <v>326</v>
      </c>
      <c r="F45" s="23" t="s">
        <v>27</v>
      </c>
      <c r="G45" s="23" t="s">
        <v>47</v>
      </c>
    </row>
    <row r="46" spans="1:7" x14ac:dyDescent="0.3">
      <c r="A46" s="205"/>
      <c r="B46" s="97" t="s">
        <v>178</v>
      </c>
      <c r="C46" s="6" t="s">
        <v>256</v>
      </c>
      <c r="D46" s="6" t="s">
        <v>114</v>
      </c>
      <c r="F46" s="23" t="s">
        <v>27</v>
      </c>
      <c r="G46" s="23" t="s">
        <v>47</v>
      </c>
    </row>
    <row r="47" spans="1:7" x14ac:dyDescent="0.3">
      <c r="A47" s="205"/>
      <c r="B47" s="97" t="s">
        <v>179</v>
      </c>
      <c r="C47" s="27" t="s">
        <v>257</v>
      </c>
      <c r="D47" s="6" t="s">
        <v>123</v>
      </c>
      <c r="F47" s="23" t="s">
        <v>27</v>
      </c>
      <c r="G47" s="23" t="s">
        <v>47</v>
      </c>
    </row>
    <row r="48" spans="1:7" x14ac:dyDescent="0.3">
      <c r="A48" s="205"/>
      <c r="B48" s="97" t="s">
        <v>180</v>
      </c>
      <c r="C48" s="6" t="s">
        <v>258</v>
      </c>
      <c r="D48" s="6" t="s">
        <v>118</v>
      </c>
      <c r="F48" s="23" t="s">
        <v>27</v>
      </c>
      <c r="G48" s="23" t="s">
        <v>47</v>
      </c>
    </row>
    <row r="49" spans="1:7" x14ac:dyDescent="0.3">
      <c r="A49" s="205"/>
      <c r="B49" s="58" t="s">
        <v>513</v>
      </c>
      <c r="C49" s="95" t="s">
        <v>266</v>
      </c>
      <c r="D49" s="29" t="s">
        <v>248</v>
      </c>
      <c r="F49" s="23" t="s">
        <v>27</v>
      </c>
      <c r="G49" s="23" t="s">
        <v>47</v>
      </c>
    </row>
    <row r="50" spans="1:7" x14ac:dyDescent="0.3">
      <c r="A50" s="205"/>
      <c r="B50" s="58" t="s">
        <v>249</v>
      </c>
      <c r="C50" s="95" t="s">
        <v>267</v>
      </c>
      <c r="D50" s="29" t="s">
        <v>249</v>
      </c>
      <c r="F50" s="23" t="s">
        <v>27</v>
      </c>
      <c r="G50" s="23" t="s">
        <v>47</v>
      </c>
    </row>
    <row r="51" spans="1:7" x14ac:dyDescent="0.3">
      <c r="A51" s="205"/>
      <c r="B51" s="58" t="s">
        <v>251</v>
      </c>
      <c r="C51" s="95" t="s">
        <v>268</v>
      </c>
      <c r="D51" s="29" t="s">
        <v>251</v>
      </c>
      <c r="F51" s="23" t="s">
        <v>27</v>
      </c>
      <c r="G51" s="23" t="s">
        <v>47</v>
      </c>
    </row>
    <row r="52" spans="1:7" x14ac:dyDescent="0.3">
      <c r="A52" s="205"/>
      <c r="B52" s="58" t="s">
        <v>252</v>
      </c>
      <c r="C52" s="95" t="s">
        <v>269</v>
      </c>
      <c r="D52" s="29" t="s">
        <v>252</v>
      </c>
      <c r="F52" s="23" t="s">
        <v>27</v>
      </c>
      <c r="G52" s="23" t="s">
        <v>47</v>
      </c>
    </row>
    <row r="53" spans="1:7" x14ac:dyDescent="0.3">
      <c r="A53" s="205"/>
      <c r="B53" s="28" t="s">
        <v>127</v>
      </c>
      <c r="C53" s="25" t="s">
        <v>135</v>
      </c>
      <c r="D53" s="29" t="s">
        <v>127</v>
      </c>
      <c r="F53" s="23" t="s">
        <v>27</v>
      </c>
      <c r="G53" s="23" t="s">
        <v>47</v>
      </c>
    </row>
    <row r="54" spans="1:7" x14ac:dyDescent="0.3">
      <c r="A54" s="205"/>
      <c r="B54" s="28" t="s">
        <v>122</v>
      </c>
      <c r="C54" s="25" t="s">
        <v>136</v>
      </c>
      <c r="D54" s="29" t="s">
        <v>122</v>
      </c>
      <c r="F54" s="23" t="s">
        <v>27</v>
      </c>
      <c r="G54" s="23" t="s">
        <v>47</v>
      </c>
    </row>
    <row r="55" spans="1:7" x14ac:dyDescent="0.3">
      <c r="A55" s="205"/>
      <c r="B55" s="87" t="s">
        <v>205</v>
      </c>
      <c r="C55" s="95" t="s">
        <v>270</v>
      </c>
      <c r="D55" t="s">
        <v>205</v>
      </c>
      <c r="F55" s="23" t="s">
        <v>27</v>
      </c>
      <c r="G55" s="23" t="s">
        <v>47</v>
      </c>
    </row>
    <row r="56" spans="1:7" x14ac:dyDescent="0.3">
      <c r="A56" s="205"/>
      <c r="B56" s="87" t="s">
        <v>206</v>
      </c>
      <c r="C56" s="95" t="s">
        <v>271</v>
      </c>
      <c r="D56" t="s">
        <v>206</v>
      </c>
      <c r="F56" s="23" t="s">
        <v>27</v>
      </c>
      <c r="G56" s="23" t="s">
        <v>47</v>
      </c>
    </row>
    <row r="57" spans="1:7" x14ac:dyDescent="0.3">
      <c r="A57" s="205"/>
      <c r="B57" s="87" t="s">
        <v>207</v>
      </c>
      <c r="C57" s="95" t="s">
        <v>272</v>
      </c>
      <c r="D57" t="s">
        <v>207</v>
      </c>
      <c r="F57" s="23" t="s">
        <v>27</v>
      </c>
      <c r="G57" s="23" t="s">
        <v>47</v>
      </c>
    </row>
    <row r="58" spans="1:7" x14ac:dyDescent="0.3">
      <c r="A58" s="205"/>
      <c r="B58" s="87" t="s">
        <v>208</v>
      </c>
      <c r="C58" s="95" t="s">
        <v>273</v>
      </c>
      <c r="D58" t="s">
        <v>208</v>
      </c>
      <c r="F58" s="23" t="s">
        <v>27</v>
      </c>
      <c r="G58" s="23" t="s">
        <v>47</v>
      </c>
    </row>
    <row r="59" spans="1:7" x14ac:dyDescent="0.3">
      <c r="A59" s="205"/>
      <c r="B59" s="87" t="s">
        <v>209</v>
      </c>
      <c r="C59" s="95" t="s">
        <v>274</v>
      </c>
      <c r="D59" t="s">
        <v>209</v>
      </c>
      <c r="F59" s="23" t="s">
        <v>27</v>
      </c>
      <c r="G59" s="23" t="s">
        <v>47</v>
      </c>
    </row>
    <row r="60" spans="1:7" x14ac:dyDescent="0.3">
      <c r="A60" s="205"/>
      <c r="B60" s="87" t="s">
        <v>210</v>
      </c>
      <c r="C60" s="95" t="s">
        <v>275</v>
      </c>
      <c r="D60" t="s">
        <v>210</v>
      </c>
      <c r="F60" s="23" t="s">
        <v>27</v>
      </c>
      <c r="G60" s="23" t="s">
        <v>47</v>
      </c>
    </row>
    <row r="61" spans="1:7" x14ac:dyDescent="0.3">
      <c r="A61" s="205"/>
      <c r="B61" s="87" t="s">
        <v>211</v>
      </c>
      <c r="C61" s="95" t="s">
        <v>276</v>
      </c>
      <c r="D61" t="s">
        <v>211</v>
      </c>
      <c r="F61" s="23" t="s">
        <v>27</v>
      </c>
      <c r="G61" s="23" t="s">
        <v>47</v>
      </c>
    </row>
    <row r="62" spans="1:7" x14ac:dyDescent="0.3">
      <c r="A62" s="205"/>
      <c r="B62" s="87" t="s">
        <v>212</v>
      </c>
      <c r="C62" s="95" t="s">
        <v>277</v>
      </c>
      <c r="D62" t="s">
        <v>212</v>
      </c>
      <c r="F62" s="23" t="s">
        <v>27</v>
      </c>
      <c r="G62" s="23" t="s">
        <v>47</v>
      </c>
    </row>
    <row r="63" spans="1:7" x14ac:dyDescent="0.3">
      <c r="A63" s="205"/>
      <c r="B63" s="87" t="s">
        <v>213</v>
      </c>
      <c r="C63" s="95" t="s">
        <v>278</v>
      </c>
      <c r="D63" t="s">
        <v>213</v>
      </c>
      <c r="F63" s="23" t="s">
        <v>27</v>
      </c>
      <c r="G63" s="23" t="s">
        <v>47</v>
      </c>
    </row>
    <row r="64" spans="1:7" x14ac:dyDescent="0.3">
      <c r="A64" s="205"/>
      <c r="B64" s="87" t="s">
        <v>214</v>
      </c>
      <c r="C64" s="95" t="s">
        <v>279</v>
      </c>
      <c r="D64" t="s">
        <v>214</v>
      </c>
      <c r="F64" s="23" t="s">
        <v>27</v>
      </c>
      <c r="G64" s="23" t="s">
        <v>47</v>
      </c>
    </row>
    <row r="65" spans="1:7" x14ac:dyDescent="0.3">
      <c r="A65" s="205"/>
      <c r="B65" s="87" t="s">
        <v>215</v>
      </c>
      <c r="C65" s="95" t="s">
        <v>280</v>
      </c>
      <c r="D65" t="s">
        <v>215</v>
      </c>
      <c r="F65" s="23" t="s">
        <v>27</v>
      </c>
      <c r="G65" s="23" t="s">
        <v>47</v>
      </c>
    </row>
    <row r="66" spans="1:7" x14ac:dyDescent="0.3">
      <c r="A66" s="205"/>
      <c r="B66" s="87" t="s">
        <v>216</v>
      </c>
      <c r="C66" s="95" t="s">
        <v>281</v>
      </c>
      <c r="D66" t="s">
        <v>216</v>
      </c>
      <c r="F66" s="23" t="s">
        <v>27</v>
      </c>
      <c r="G66" s="23" t="s">
        <v>47</v>
      </c>
    </row>
    <row r="67" spans="1:7" x14ac:dyDescent="0.3">
      <c r="A67" s="205"/>
      <c r="B67" s="87" t="s">
        <v>217</v>
      </c>
      <c r="C67" s="95" t="s">
        <v>282</v>
      </c>
      <c r="D67" t="s">
        <v>217</v>
      </c>
      <c r="F67" s="23" t="s">
        <v>27</v>
      </c>
      <c r="G67" s="23" t="s">
        <v>47</v>
      </c>
    </row>
    <row r="68" spans="1:7" x14ac:dyDescent="0.3">
      <c r="A68" s="205"/>
      <c r="B68" s="87" t="s">
        <v>218</v>
      </c>
      <c r="C68" s="95" t="s">
        <v>284</v>
      </c>
      <c r="D68" t="s">
        <v>218</v>
      </c>
      <c r="F68" s="23" t="s">
        <v>27</v>
      </c>
      <c r="G68" s="23" t="s">
        <v>47</v>
      </c>
    </row>
    <row r="69" spans="1:7" x14ac:dyDescent="0.3">
      <c r="A69" s="205"/>
      <c r="B69" s="87" t="s">
        <v>219</v>
      </c>
      <c r="C69" s="95" t="s">
        <v>283</v>
      </c>
      <c r="D69" t="s">
        <v>219</v>
      </c>
      <c r="F69" s="23" t="s">
        <v>27</v>
      </c>
      <c r="G69" s="23" t="s">
        <v>47</v>
      </c>
    </row>
    <row r="70" spans="1:7" x14ac:dyDescent="0.3">
      <c r="A70" s="205"/>
      <c r="B70" s="87" t="s">
        <v>220</v>
      </c>
      <c r="C70" s="95" t="s">
        <v>285</v>
      </c>
      <c r="D70" t="s">
        <v>220</v>
      </c>
      <c r="F70" s="23" t="s">
        <v>27</v>
      </c>
      <c r="G70" s="23" t="s">
        <v>47</v>
      </c>
    </row>
    <row r="71" spans="1:7" x14ac:dyDescent="0.3">
      <c r="A71" s="205"/>
      <c r="B71" s="87" t="s">
        <v>221</v>
      </c>
      <c r="C71" s="95" t="s">
        <v>286</v>
      </c>
      <c r="D71" t="s">
        <v>221</v>
      </c>
      <c r="F71" s="23" t="s">
        <v>27</v>
      </c>
      <c r="G71" s="23" t="s">
        <v>47</v>
      </c>
    </row>
    <row r="72" spans="1:7" x14ac:dyDescent="0.3">
      <c r="A72" s="205"/>
      <c r="B72" s="87" t="s">
        <v>222</v>
      </c>
      <c r="C72" s="95" t="s">
        <v>287</v>
      </c>
      <c r="D72" t="s">
        <v>222</v>
      </c>
      <c r="F72" s="23" t="s">
        <v>27</v>
      </c>
      <c r="G72" s="23" t="s">
        <v>47</v>
      </c>
    </row>
    <row r="73" spans="1:7" x14ac:dyDescent="0.3">
      <c r="A73" s="205"/>
      <c r="B73" s="87" t="s">
        <v>223</v>
      </c>
      <c r="C73" s="95" t="s">
        <v>288</v>
      </c>
      <c r="D73" t="s">
        <v>223</v>
      </c>
      <c r="F73" s="23" t="s">
        <v>27</v>
      </c>
      <c r="G73" s="23" t="s">
        <v>47</v>
      </c>
    </row>
    <row r="74" spans="1:7" x14ac:dyDescent="0.3">
      <c r="A74" s="205"/>
      <c r="B74" s="87" t="s">
        <v>224</v>
      </c>
      <c r="C74" s="95" t="s">
        <v>289</v>
      </c>
      <c r="D74" t="s">
        <v>224</v>
      </c>
      <c r="F74" s="23" t="s">
        <v>27</v>
      </c>
      <c r="G74" s="23" t="s">
        <v>47</v>
      </c>
    </row>
    <row r="75" spans="1:7" x14ac:dyDescent="0.3">
      <c r="A75" s="205"/>
      <c r="B75" s="87" t="s">
        <v>225</v>
      </c>
      <c r="C75" s="95" t="s">
        <v>290</v>
      </c>
      <c r="D75" t="s">
        <v>225</v>
      </c>
      <c r="F75" s="23" t="s">
        <v>27</v>
      </c>
      <c r="G75" s="23" t="s">
        <v>47</v>
      </c>
    </row>
    <row r="76" spans="1:7" x14ac:dyDescent="0.3">
      <c r="A76" s="205"/>
      <c r="B76" s="87" t="s">
        <v>226</v>
      </c>
      <c r="C76" s="95" t="s">
        <v>291</v>
      </c>
      <c r="D76" t="s">
        <v>226</v>
      </c>
      <c r="F76" s="23" t="s">
        <v>27</v>
      </c>
      <c r="G76" s="23" t="s">
        <v>47</v>
      </c>
    </row>
    <row r="77" spans="1:7" x14ac:dyDescent="0.3">
      <c r="A77" s="205"/>
      <c r="B77" s="87" t="s">
        <v>231</v>
      </c>
      <c r="C77" s="95" t="s">
        <v>292</v>
      </c>
      <c r="D77" t="s">
        <v>231</v>
      </c>
      <c r="F77" s="23" t="s">
        <v>27</v>
      </c>
      <c r="G77" s="23" t="s">
        <v>47</v>
      </c>
    </row>
    <row r="78" spans="1:7" x14ac:dyDescent="0.3">
      <c r="A78" s="205"/>
      <c r="B78" s="87" t="s">
        <v>227</v>
      </c>
      <c r="C78" s="95" t="s">
        <v>293</v>
      </c>
      <c r="D78" t="s">
        <v>227</v>
      </c>
      <c r="F78" s="23" t="s">
        <v>27</v>
      </c>
      <c r="G78" s="23" t="s">
        <v>47</v>
      </c>
    </row>
    <row r="79" spans="1:7" x14ac:dyDescent="0.3">
      <c r="A79" s="205"/>
      <c r="B79" s="87" t="s">
        <v>228</v>
      </c>
      <c r="C79" s="95" t="s">
        <v>294</v>
      </c>
      <c r="D79" t="s">
        <v>228</v>
      </c>
      <c r="F79" s="23" t="s">
        <v>27</v>
      </c>
      <c r="G79" s="23" t="s">
        <v>47</v>
      </c>
    </row>
    <row r="80" spans="1:7" x14ac:dyDescent="0.3">
      <c r="A80" s="205"/>
      <c r="B80" s="87" t="s">
        <v>229</v>
      </c>
      <c r="C80" s="95" t="s">
        <v>295</v>
      </c>
      <c r="D80" t="s">
        <v>229</v>
      </c>
      <c r="F80" s="23" t="s">
        <v>27</v>
      </c>
      <c r="G80" s="23" t="s">
        <v>47</v>
      </c>
    </row>
    <row r="81" spans="1:7" x14ac:dyDescent="0.3">
      <c r="A81" s="205"/>
      <c r="B81" s="87" t="s">
        <v>230</v>
      </c>
      <c r="C81" s="95" t="s">
        <v>296</v>
      </c>
      <c r="D81" t="s">
        <v>230</v>
      </c>
      <c r="F81" s="23" t="s">
        <v>27</v>
      </c>
      <c r="G81" s="23" t="s">
        <v>47</v>
      </c>
    </row>
    <row r="82" spans="1:7" x14ac:dyDescent="0.3">
      <c r="A82" s="205"/>
      <c r="B82" s="87" t="s">
        <v>572</v>
      </c>
      <c r="C82" s="95" t="s">
        <v>547</v>
      </c>
      <c r="D82" t="s">
        <v>520</v>
      </c>
      <c r="F82" s="23" t="s">
        <v>27</v>
      </c>
      <c r="G82" s="23" t="s">
        <v>47</v>
      </c>
    </row>
    <row r="83" spans="1:7" x14ac:dyDescent="0.3">
      <c r="A83" s="205"/>
      <c r="B83" s="87" t="s">
        <v>573</v>
      </c>
      <c r="C83" s="95" t="s">
        <v>548</v>
      </c>
      <c r="D83" t="s">
        <v>521</v>
      </c>
      <c r="F83" s="23" t="s">
        <v>27</v>
      </c>
      <c r="G83" s="23" t="s">
        <v>47</v>
      </c>
    </row>
    <row r="84" spans="1:7" x14ac:dyDescent="0.3">
      <c r="A84" s="205"/>
      <c r="B84" s="87" t="s">
        <v>574</v>
      </c>
      <c r="C84" s="95" t="s">
        <v>549</v>
      </c>
      <c r="D84" t="s">
        <v>522</v>
      </c>
      <c r="F84" s="23" t="s">
        <v>27</v>
      </c>
      <c r="G84" s="23" t="s">
        <v>47</v>
      </c>
    </row>
    <row r="85" spans="1:7" x14ac:dyDescent="0.3">
      <c r="A85" s="205"/>
      <c r="B85" s="87" t="s">
        <v>575</v>
      </c>
      <c r="C85" s="95" t="s">
        <v>550</v>
      </c>
      <c r="D85" t="s">
        <v>523</v>
      </c>
      <c r="F85" s="23" t="s">
        <v>27</v>
      </c>
      <c r="G85" s="23" t="s">
        <v>47</v>
      </c>
    </row>
    <row r="86" spans="1:7" x14ac:dyDescent="0.3">
      <c r="A86" s="205"/>
      <c r="B86" s="87" t="s">
        <v>576</v>
      </c>
      <c r="C86" s="95" t="s">
        <v>551</v>
      </c>
      <c r="D86" t="s">
        <v>524</v>
      </c>
      <c r="F86" s="23" t="s">
        <v>27</v>
      </c>
      <c r="G86" s="23" t="s">
        <v>47</v>
      </c>
    </row>
    <row r="87" spans="1:7" x14ac:dyDescent="0.3">
      <c r="A87" s="205"/>
      <c r="B87" s="87" t="s">
        <v>577</v>
      </c>
      <c r="C87" s="95" t="s">
        <v>552</v>
      </c>
      <c r="D87" t="s">
        <v>525</v>
      </c>
      <c r="F87" s="23" t="s">
        <v>27</v>
      </c>
      <c r="G87" s="23" t="s">
        <v>47</v>
      </c>
    </row>
    <row r="88" spans="1:7" x14ac:dyDescent="0.3">
      <c r="A88" s="205"/>
      <c r="B88" s="87" t="s">
        <v>578</v>
      </c>
      <c r="C88" s="95" t="s">
        <v>553</v>
      </c>
      <c r="D88" t="s">
        <v>526</v>
      </c>
      <c r="F88" s="23" t="s">
        <v>27</v>
      </c>
      <c r="G88" s="23" t="s">
        <v>47</v>
      </c>
    </row>
    <row r="89" spans="1:7" x14ac:dyDescent="0.3">
      <c r="A89" s="205"/>
      <c r="B89" s="87" t="s">
        <v>579</v>
      </c>
      <c r="C89" s="95" t="s">
        <v>554</v>
      </c>
      <c r="D89" t="s">
        <v>527</v>
      </c>
      <c r="F89" s="23" t="s">
        <v>27</v>
      </c>
      <c r="G89" s="23" t="s">
        <v>47</v>
      </c>
    </row>
    <row r="90" spans="1:7" x14ac:dyDescent="0.3">
      <c r="A90" s="205"/>
      <c r="B90" s="87" t="s">
        <v>580</v>
      </c>
      <c r="C90" s="95" t="s">
        <v>555</v>
      </c>
      <c r="D90" t="s">
        <v>528</v>
      </c>
      <c r="F90" s="23" t="s">
        <v>27</v>
      </c>
      <c r="G90" s="23" t="s">
        <v>47</v>
      </c>
    </row>
    <row r="91" spans="1:7" x14ac:dyDescent="0.3">
      <c r="A91" s="205"/>
      <c r="B91" s="87" t="s">
        <v>581</v>
      </c>
      <c r="C91" s="95" t="s">
        <v>556</v>
      </c>
      <c r="D91" t="s">
        <v>529</v>
      </c>
      <c r="F91" s="23" t="s">
        <v>27</v>
      </c>
      <c r="G91" s="23" t="s">
        <v>47</v>
      </c>
    </row>
    <row r="92" spans="1:7" x14ac:dyDescent="0.3">
      <c r="A92" s="205"/>
      <c r="B92" s="87" t="s">
        <v>582</v>
      </c>
      <c r="C92" s="95" t="s">
        <v>557</v>
      </c>
      <c r="D92" t="s">
        <v>530</v>
      </c>
      <c r="F92" s="23" t="s">
        <v>27</v>
      </c>
      <c r="G92" s="23" t="s">
        <v>47</v>
      </c>
    </row>
    <row r="93" spans="1:7" x14ac:dyDescent="0.3">
      <c r="A93" s="205"/>
      <c r="B93" s="87" t="s">
        <v>583</v>
      </c>
      <c r="C93" s="95" t="s">
        <v>558</v>
      </c>
      <c r="D93" t="s">
        <v>531</v>
      </c>
      <c r="F93" s="23" t="s">
        <v>27</v>
      </c>
      <c r="G93" s="23" t="s">
        <v>47</v>
      </c>
    </row>
    <row r="94" spans="1:7" x14ac:dyDescent="0.3">
      <c r="A94" s="205"/>
      <c r="B94" s="87" t="s">
        <v>584</v>
      </c>
      <c r="C94" s="95" t="s">
        <v>559</v>
      </c>
      <c r="D94" t="s">
        <v>532</v>
      </c>
      <c r="F94" s="23" t="s">
        <v>27</v>
      </c>
      <c r="G94" s="23" t="s">
        <v>47</v>
      </c>
    </row>
    <row r="95" spans="1:7" x14ac:dyDescent="0.3">
      <c r="A95" s="205"/>
      <c r="B95" s="87" t="s">
        <v>585</v>
      </c>
      <c r="C95" s="95" t="s">
        <v>560</v>
      </c>
      <c r="D95" t="s">
        <v>533</v>
      </c>
      <c r="F95" s="23" t="s">
        <v>27</v>
      </c>
      <c r="G95" s="23" t="s">
        <v>47</v>
      </c>
    </row>
    <row r="96" spans="1:7" x14ac:dyDescent="0.3">
      <c r="A96" s="205"/>
      <c r="B96" s="87" t="s">
        <v>586</v>
      </c>
      <c r="C96" s="95" t="s">
        <v>561</v>
      </c>
      <c r="D96" t="s">
        <v>534</v>
      </c>
      <c r="F96" s="23" t="s">
        <v>27</v>
      </c>
      <c r="G96" s="23" t="s">
        <v>47</v>
      </c>
    </row>
    <row r="97" spans="1:7" x14ac:dyDescent="0.3">
      <c r="A97" s="205"/>
      <c r="B97" s="87" t="s">
        <v>587</v>
      </c>
      <c r="C97" s="95" t="s">
        <v>562</v>
      </c>
      <c r="D97" t="s">
        <v>535</v>
      </c>
      <c r="F97" s="23" t="s">
        <v>27</v>
      </c>
      <c r="G97" s="23" t="s">
        <v>47</v>
      </c>
    </row>
    <row r="98" spans="1:7" x14ac:dyDescent="0.3">
      <c r="A98" s="205"/>
      <c r="B98" s="87" t="s">
        <v>588</v>
      </c>
      <c r="C98" s="95" t="s">
        <v>563</v>
      </c>
      <c r="D98" t="s">
        <v>536</v>
      </c>
      <c r="F98" s="23" t="s">
        <v>27</v>
      </c>
      <c r="G98" s="23" t="s">
        <v>47</v>
      </c>
    </row>
    <row r="99" spans="1:7" x14ac:dyDescent="0.3">
      <c r="A99" s="205"/>
      <c r="B99" s="87" t="s">
        <v>589</v>
      </c>
      <c r="C99" s="95" t="s">
        <v>564</v>
      </c>
      <c r="D99" t="s">
        <v>537</v>
      </c>
      <c r="F99" s="23" t="s">
        <v>27</v>
      </c>
      <c r="G99" s="23" t="s">
        <v>47</v>
      </c>
    </row>
    <row r="100" spans="1:7" x14ac:dyDescent="0.3">
      <c r="A100" s="205"/>
      <c r="B100" s="87" t="s">
        <v>538</v>
      </c>
      <c r="C100" s="95" t="s">
        <v>565</v>
      </c>
      <c r="D100" t="s">
        <v>538</v>
      </c>
      <c r="F100" s="23" t="s">
        <v>27</v>
      </c>
      <c r="G100" s="23" t="s">
        <v>47</v>
      </c>
    </row>
    <row r="101" spans="1:7" x14ac:dyDescent="0.3">
      <c r="A101" s="205"/>
      <c r="B101" s="87" t="s">
        <v>539</v>
      </c>
      <c r="C101" s="95" t="s">
        <v>566</v>
      </c>
      <c r="D101" t="s">
        <v>539</v>
      </c>
      <c r="F101" s="23" t="s">
        <v>27</v>
      </c>
      <c r="G101" s="23" t="s">
        <v>47</v>
      </c>
    </row>
    <row r="102" spans="1:7" ht="43.2" customHeight="1" x14ac:dyDescent="0.3">
      <c r="A102" s="205" t="s">
        <v>382</v>
      </c>
      <c r="B102" s="24" t="s">
        <v>342</v>
      </c>
      <c r="C102" s="95" t="s">
        <v>370</v>
      </c>
      <c r="D102" s="9" t="s">
        <v>342</v>
      </c>
      <c r="F102" s="23" t="s">
        <v>27</v>
      </c>
      <c r="G102" s="23" t="s">
        <v>47</v>
      </c>
    </row>
    <row r="103" spans="1:7" x14ac:dyDescent="0.3">
      <c r="A103" s="205"/>
      <c r="B103" s="24" t="s">
        <v>4</v>
      </c>
      <c r="C103" s="95" t="s">
        <v>371</v>
      </c>
      <c r="D103" s="9" t="s">
        <v>4</v>
      </c>
      <c r="F103" s="23" t="s">
        <v>27</v>
      </c>
      <c r="G103" s="23" t="s">
        <v>47</v>
      </c>
    </row>
    <row r="104" spans="1:7" ht="28.8" x14ac:dyDescent="0.3">
      <c r="A104" s="205"/>
      <c r="B104" s="24" t="s">
        <v>352</v>
      </c>
      <c r="C104" s="99" t="s">
        <v>372</v>
      </c>
      <c r="D104" s="9" t="s">
        <v>352</v>
      </c>
      <c r="F104" s="23" t="s">
        <v>27</v>
      </c>
      <c r="G104" s="23" t="s">
        <v>47</v>
      </c>
    </row>
    <row r="105" spans="1:7" x14ac:dyDescent="0.3">
      <c r="A105" s="205"/>
      <c r="B105" s="24" t="s">
        <v>353</v>
      </c>
      <c r="C105" s="95" t="s">
        <v>373</v>
      </c>
      <c r="D105" s="9" t="s">
        <v>353</v>
      </c>
      <c r="F105" s="23" t="s">
        <v>27</v>
      </c>
      <c r="G105" s="23" t="s">
        <v>47</v>
      </c>
    </row>
    <row r="106" spans="1:7" x14ac:dyDescent="0.3">
      <c r="A106" s="205"/>
      <c r="B106" s="24" t="s">
        <v>369</v>
      </c>
      <c r="C106" s="99" t="s">
        <v>374</v>
      </c>
      <c r="D106" s="9" t="s">
        <v>369</v>
      </c>
      <c r="F106" s="23" t="s">
        <v>27</v>
      </c>
      <c r="G106" s="23" t="s">
        <v>47</v>
      </c>
    </row>
    <row r="107" spans="1:7" x14ac:dyDescent="0.3">
      <c r="A107" s="205"/>
      <c r="B107" s="24" t="s">
        <v>355</v>
      </c>
      <c r="C107" s="95" t="s">
        <v>375</v>
      </c>
      <c r="D107" s="9" t="s">
        <v>355</v>
      </c>
      <c r="F107" s="23" t="s">
        <v>27</v>
      </c>
      <c r="G107" s="23" t="s">
        <v>47</v>
      </c>
    </row>
    <row r="108" spans="1:7" ht="28.8" x14ac:dyDescent="0.3">
      <c r="A108" s="205"/>
      <c r="B108" s="24" t="s">
        <v>357</v>
      </c>
      <c r="C108" s="127" t="s">
        <v>376</v>
      </c>
      <c r="D108" s="9" t="s">
        <v>357</v>
      </c>
      <c r="F108" s="23" t="s">
        <v>27</v>
      </c>
      <c r="G108" s="23" t="s">
        <v>47</v>
      </c>
    </row>
    <row r="109" spans="1:7" ht="28.8" x14ac:dyDescent="0.3">
      <c r="A109" s="205"/>
      <c r="B109" s="24" t="s">
        <v>359</v>
      </c>
      <c r="C109" s="127" t="s">
        <v>377</v>
      </c>
      <c r="D109" s="9" t="s">
        <v>359</v>
      </c>
      <c r="F109" s="23" t="s">
        <v>27</v>
      </c>
      <c r="G109" s="23" t="s">
        <v>47</v>
      </c>
    </row>
    <row r="110" spans="1:7" x14ac:dyDescent="0.3">
      <c r="C110" s="127"/>
    </row>
  </sheetData>
  <mergeCells count="2">
    <mergeCell ref="A102:A109"/>
    <mergeCell ref="A2:A101"/>
  </mergeCells>
  <dataValidations count="5">
    <dataValidation type="list" allowBlank="1" showInputMessage="1" showErrorMessage="1" promptTitle="Enter Data Type" prompt="Enter the data type of this item. You must enter a valid data type from the following list:_x000a_ST (Character String)_x000a_INT (Integer)_x000a_REAL (Real Number)_x000a_DATE _x000a_PDATE_x000a_FILE_x000a_" sqref="F1" xr:uid="{7AEE0EDD-CE2D-4FEE-8FB9-03DCA4A26A96}">
      <formula1>"ST, INT, REAL, DATE,FILE,PDATE"</formula1>
    </dataValidation>
    <dataValidation type="textLength" allowBlank="1" showInputMessage="1" showErrorMessage="1" promptTitle="Enter Response Label" prompt="Create a custom label associated with a response set. This label must be defined once and may be reused by other items with the same responses (eg Yes, No). Must be alphanumeric, 1 and 80 characters long, and is required for each unique response set. " sqref="D1 D4:D6" xr:uid="{CC33B44C-1A7F-473B-80D9-ADF17D87C5DA}">
      <formula1>0</formula1>
      <formula2>80</formula2>
    </dataValidation>
    <dataValidation type="textLength" allowBlank="1" showInputMessage="1" showErrorMessage="1" promptTitle="Enter Response Options Text" prompt="Enter a list of the text values of the responses for this response set as a comma-delimited string. Must be 1 to 4000 characters long. It is required for each unique response label but not for previously used response labels." sqref="E1 E4:E6" xr:uid="{6F850D4A-5ED7-444C-89FD-A3C8AB051393}">
      <formula1>0</formula1>
      <formula2>4000</formula2>
    </dataValidation>
    <dataValidation type="textLength" allowBlank="1" showInputMessage="1" showErrorMessage="1" errorTitle="255 character limit" error="Maximum of 255 characters is allowed" promptTitle="Enter Item Name" prompt="Enter the Item Name. This is the unique label or variable name for this data element and should be letters and numbers and no spaces. It should be 1 to 255 characters long. This field is required and must be unique within the spreadsheet. REQUIRED" sqref="B1 B4:B6 B44 D44" xr:uid="{9FFDA2EE-421F-4AE5-9822-7E6B4F6E0C6D}">
      <formula1>1</formula1>
      <formula2>255</formula2>
    </dataValidation>
    <dataValidation type="textLength" allowBlank="1" showInputMessage="1" showErrorMessage="1" errorTitle="4000 character limit" error="Maximum number of characters allowed is 4000." promptTitle="Enter Description Label" prompt="Enter a description or definition for this item. The description should give an explanation of the data element and the value(s) it captures. It is not shown on the CRF but is in the data dictionary. It should be 1 to 4000 characters long. REQUIRED" sqref="C1 C4:C6" xr:uid="{9A78717F-3C71-46EE-9315-C364E96D421F}">
      <formula1>1</formula1>
      <formula2>4000</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DDB9A-DDC5-4281-AC8B-B7FA3C814CB4}">
  <sheetPr>
    <tabColor theme="7" tint="0.79998168889431442"/>
  </sheetPr>
  <dimension ref="A1:BA68"/>
  <sheetViews>
    <sheetView workbookViewId="0">
      <pane xSplit="1" topLeftCell="B1" activePane="topRight" state="frozen"/>
      <selection pane="topRight" activeCell="E21" sqref="E21"/>
    </sheetView>
  </sheetViews>
  <sheetFormatPr defaultRowHeight="14.4" x14ac:dyDescent="0.3"/>
  <cols>
    <col min="1" max="1" width="6.109375" style="10" bestFit="1" customWidth="1"/>
    <col min="2" max="2" width="15.77734375" style="10" customWidth="1"/>
    <col min="3" max="3" width="20.21875" style="10" customWidth="1"/>
    <col min="4" max="4" width="11" style="10" bestFit="1" customWidth="1"/>
    <col min="5" max="5" width="8.88671875" style="10"/>
    <col min="6" max="6" width="9.109375" style="10" bestFit="1" customWidth="1"/>
    <col min="7" max="9" width="16.77734375" style="10" customWidth="1"/>
    <col min="10" max="10" width="21.5546875" style="10" customWidth="1"/>
    <col min="11" max="11" width="31.77734375" style="1" bestFit="1" customWidth="1"/>
    <col min="12" max="12" width="31.77734375" style="1" customWidth="1"/>
    <col min="13" max="13" width="17.88671875" style="1" bestFit="1" customWidth="1"/>
    <col min="14" max="14" width="30.109375" style="10" bestFit="1" customWidth="1"/>
    <col min="15" max="15" width="25.77734375" style="10" bestFit="1" customWidth="1"/>
    <col min="16" max="16" width="18.33203125" style="10" bestFit="1" customWidth="1"/>
    <col min="17" max="17" width="18.33203125" style="10" customWidth="1"/>
    <col min="18" max="18" width="30.77734375" style="10" bestFit="1" customWidth="1"/>
    <col min="19" max="20" width="22.6640625" style="10" customWidth="1"/>
    <col min="21" max="21" width="31.88671875" style="10" bestFit="1" customWidth="1"/>
    <col min="22" max="22" width="22" style="10" customWidth="1"/>
    <col min="23" max="23" width="25.109375" style="10" customWidth="1"/>
    <col min="24" max="24" width="26.21875" style="10" bestFit="1" customWidth="1"/>
    <col min="25" max="25" width="18.33203125" style="10" bestFit="1" customWidth="1"/>
    <col min="26" max="26" width="18.33203125" style="10" customWidth="1"/>
    <col min="27" max="27" width="31.21875" style="10" bestFit="1" customWidth="1"/>
    <col min="28" max="28" width="22.6640625" style="10" customWidth="1"/>
    <col min="29" max="29" width="25" style="10" customWidth="1"/>
    <col min="30" max="30" width="33.33203125" style="10" bestFit="1" customWidth="1"/>
    <col min="31" max="31" width="22" style="10" customWidth="1"/>
    <col min="32" max="32" width="24.6640625" style="10" customWidth="1"/>
    <col min="33" max="33" width="23.6640625" bestFit="1" customWidth="1"/>
    <col min="34" max="34" width="34" bestFit="1" customWidth="1"/>
    <col min="35" max="35" width="29.77734375" bestFit="1" customWidth="1"/>
    <col min="36" max="36" width="40.109375" bestFit="1" customWidth="1"/>
    <col min="37" max="37" width="30.88671875" bestFit="1" customWidth="1"/>
    <col min="38" max="38" width="41.21875" bestFit="1" customWidth="1"/>
    <col min="39" max="39" width="53.109375" style="1" bestFit="1" customWidth="1"/>
    <col min="40" max="40" width="19" style="1" bestFit="1" customWidth="1"/>
    <col min="41" max="42" width="26" style="1" bestFit="1" customWidth="1"/>
    <col min="43" max="43" width="26" style="1" customWidth="1"/>
    <col min="44" max="44" width="19" style="1" customWidth="1"/>
    <col min="45" max="45" width="26.109375" style="1" bestFit="1" customWidth="1"/>
    <col min="46" max="46" width="25.109375" style="1" bestFit="1" customWidth="1"/>
    <col min="47" max="47" width="19" bestFit="1" customWidth="1"/>
    <col min="48" max="48" width="26" bestFit="1" customWidth="1"/>
    <col min="49" max="49" width="25" bestFit="1" customWidth="1"/>
    <col min="50" max="50" width="19.109375" bestFit="1" customWidth="1"/>
    <col min="51" max="51" width="26.109375" bestFit="1" customWidth="1"/>
    <col min="52" max="52" width="25.109375" bestFit="1" customWidth="1"/>
  </cols>
  <sheetData>
    <row r="1" spans="1:52" x14ac:dyDescent="0.3">
      <c r="B1" s="133" t="s">
        <v>157</v>
      </c>
      <c r="C1" s="47"/>
      <c r="D1" s="47"/>
      <c r="E1" s="47"/>
      <c r="F1" s="47"/>
      <c r="G1" s="47"/>
      <c r="H1" s="47"/>
      <c r="I1" s="47"/>
      <c r="J1" s="47"/>
      <c r="K1" s="131"/>
      <c r="L1" s="131"/>
      <c r="M1" s="131"/>
      <c r="N1" s="89" t="s">
        <v>385</v>
      </c>
      <c r="O1" s="44"/>
      <c r="P1" s="44"/>
      <c r="Q1" s="44"/>
      <c r="R1" s="44"/>
      <c r="S1" s="44"/>
      <c r="T1" s="44"/>
      <c r="U1" s="44"/>
      <c r="V1" s="44"/>
      <c r="W1" s="44"/>
      <c r="X1" s="44"/>
      <c r="Y1" s="44"/>
      <c r="Z1" s="44"/>
      <c r="AA1" s="44"/>
      <c r="AB1" s="44"/>
      <c r="AC1" s="44"/>
      <c r="AD1" s="44"/>
      <c r="AE1" s="44"/>
      <c r="AF1" s="44"/>
      <c r="AG1" s="116"/>
      <c r="AH1" s="116"/>
      <c r="AI1" s="116"/>
      <c r="AJ1" s="116"/>
      <c r="AK1" s="116"/>
      <c r="AL1" s="116"/>
      <c r="AM1" s="88" t="s">
        <v>609</v>
      </c>
      <c r="AN1" s="190"/>
      <c r="AO1" s="190"/>
      <c r="AP1" s="190"/>
      <c r="AQ1" s="190"/>
      <c r="AR1" s="190"/>
      <c r="AS1" s="190"/>
      <c r="AT1" s="190"/>
      <c r="AU1" s="88" t="s">
        <v>610</v>
      </c>
      <c r="AV1" s="122"/>
      <c r="AW1" s="122"/>
      <c r="AX1" s="122"/>
      <c r="AY1" s="122"/>
      <c r="AZ1" s="122"/>
    </row>
    <row r="2" spans="1:52" s="37" customFormat="1" x14ac:dyDescent="0.3">
      <c r="A2" s="34" t="s">
        <v>0</v>
      </c>
      <c r="B2" s="36" t="s">
        <v>2</v>
      </c>
      <c r="C2" s="36" t="s">
        <v>52</v>
      </c>
      <c r="D2" s="36" t="s">
        <v>640</v>
      </c>
      <c r="E2" s="36" t="s">
        <v>5</v>
      </c>
      <c r="F2" s="36" t="s">
        <v>6</v>
      </c>
      <c r="G2" s="36" t="s">
        <v>41</v>
      </c>
      <c r="H2" s="36" t="s">
        <v>42</v>
      </c>
      <c r="I2" s="36" t="s">
        <v>53</v>
      </c>
      <c r="J2" s="36" t="s">
        <v>54</v>
      </c>
      <c r="K2" s="132" t="s">
        <v>55</v>
      </c>
      <c r="L2" s="132" t="s">
        <v>56</v>
      </c>
      <c r="M2" s="132" t="s">
        <v>57</v>
      </c>
      <c r="N2" s="35" t="s">
        <v>383</v>
      </c>
      <c r="O2" s="35" t="s">
        <v>386</v>
      </c>
      <c r="P2" s="35" t="s">
        <v>387</v>
      </c>
      <c r="Q2" s="35" t="s">
        <v>388</v>
      </c>
      <c r="R2" s="35" t="s">
        <v>389</v>
      </c>
      <c r="S2" s="35" t="s">
        <v>390</v>
      </c>
      <c r="T2" s="35" t="s">
        <v>391</v>
      </c>
      <c r="U2" s="35" t="s">
        <v>398</v>
      </c>
      <c r="V2" s="35" t="s">
        <v>401</v>
      </c>
      <c r="W2" s="35" t="s">
        <v>402</v>
      </c>
      <c r="X2" s="35" t="s">
        <v>404</v>
      </c>
      <c r="Y2" s="35" t="s">
        <v>406</v>
      </c>
      <c r="Z2" s="35" t="s">
        <v>408</v>
      </c>
      <c r="AA2" s="35" t="s">
        <v>410</v>
      </c>
      <c r="AB2" s="35" t="s">
        <v>412</v>
      </c>
      <c r="AC2" s="35" t="s">
        <v>414</v>
      </c>
      <c r="AD2" s="35" t="s">
        <v>416</v>
      </c>
      <c r="AE2" s="35" t="s">
        <v>418</v>
      </c>
      <c r="AF2" s="35" t="s">
        <v>420</v>
      </c>
      <c r="AG2" s="81" t="s">
        <v>422</v>
      </c>
      <c r="AH2" s="81" t="s">
        <v>423</v>
      </c>
      <c r="AI2" s="81" t="s">
        <v>424</v>
      </c>
      <c r="AJ2" s="81" t="s">
        <v>425</v>
      </c>
      <c r="AK2" s="81" t="s">
        <v>426</v>
      </c>
      <c r="AL2" s="81" t="s">
        <v>427</v>
      </c>
      <c r="AM2" s="191" t="s">
        <v>597</v>
      </c>
      <c r="AN2" s="191" t="s">
        <v>591</v>
      </c>
      <c r="AO2" s="191" t="s">
        <v>592</v>
      </c>
      <c r="AP2" s="191" t="s">
        <v>593</v>
      </c>
      <c r="AQ2" s="191" t="s">
        <v>598</v>
      </c>
      <c r="AR2" s="191" t="s">
        <v>594</v>
      </c>
      <c r="AS2" s="191" t="s">
        <v>595</v>
      </c>
      <c r="AT2" s="191" t="s">
        <v>596</v>
      </c>
      <c r="AU2" s="191" t="s">
        <v>603</v>
      </c>
      <c r="AV2" s="191" t="s">
        <v>604</v>
      </c>
      <c r="AW2" s="191" t="s">
        <v>605</v>
      </c>
      <c r="AX2" s="191" t="s">
        <v>606</v>
      </c>
      <c r="AY2" s="191" t="s">
        <v>607</v>
      </c>
      <c r="AZ2" s="191" t="s">
        <v>608</v>
      </c>
    </row>
    <row r="3" spans="1:52" s="13" customFormat="1" x14ac:dyDescent="0.3">
      <c r="A3" s="17">
        <v>1</v>
      </c>
      <c r="B3" s="12">
        <v>0</v>
      </c>
      <c r="C3" s="12" t="s">
        <v>60</v>
      </c>
      <c r="D3" s="15">
        <v>1</v>
      </c>
      <c r="E3" s="12">
        <v>1</v>
      </c>
      <c r="F3" s="12">
        <v>1</v>
      </c>
      <c r="G3" s="12">
        <v>0</v>
      </c>
      <c r="H3" s="12">
        <v>1</v>
      </c>
      <c r="I3" s="12">
        <v>0</v>
      </c>
      <c r="J3" s="12">
        <v>0</v>
      </c>
      <c r="K3" s="17">
        <v>4407</v>
      </c>
      <c r="L3" s="17">
        <v>1</v>
      </c>
      <c r="M3" s="17"/>
      <c r="N3" s="130">
        <v>45484</v>
      </c>
      <c r="O3" s="17">
        <v>16.96</v>
      </c>
      <c r="P3" s="12">
        <v>-315.38999999999942</v>
      </c>
      <c r="Q3" s="12">
        <v>894</v>
      </c>
      <c r="R3" s="12">
        <v>2.21</v>
      </c>
      <c r="S3" s="12">
        <v>18386.96</v>
      </c>
      <c r="T3" s="12">
        <v>43</v>
      </c>
      <c r="U3" s="12">
        <v>19.03</v>
      </c>
      <c r="V3" s="12">
        <v>235.94999999999982</v>
      </c>
      <c r="W3" s="17">
        <v>628</v>
      </c>
      <c r="X3" s="17">
        <v>2.4500000000000002</v>
      </c>
      <c r="Y3" s="12">
        <v>410.17000000000007</v>
      </c>
      <c r="Z3" s="12">
        <v>99</v>
      </c>
      <c r="AA3" s="12">
        <v>0.06</v>
      </c>
      <c r="AB3" s="12">
        <v>12753.57</v>
      </c>
      <c r="AC3" s="12">
        <v>1</v>
      </c>
      <c r="AD3" s="12">
        <v>3.93</v>
      </c>
      <c r="AE3" s="12">
        <v>292.30999999999995</v>
      </c>
      <c r="AF3" s="12">
        <v>95</v>
      </c>
      <c r="AG3" s="32">
        <v>-1.3005168204445317</v>
      </c>
      <c r="AH3" s="32">
        <v>1.1799410029498527E-2</v>
      </c>
      <c r="AI3" s="32">
        <v>0.69362037008836697</v>
      </c>
      <c r="AJ3" s="32">
        <v>-3.5087719298245612E-2</v>
      </c>
      <c r="AK3" s="32">
        <v>1.2388641661368942</v>
      </c>
      <c r="AL3" s="32">
        <v>0.2077711818672423</v>
      </c>
      <c r="AM3" s="17">
        <v>1336</v>
      </c>
      <c r="AN3" s="17">
        <v>894</v>
      </c>
      <c r="AO3" s="17">
        <v>628</v>
      </c>
      <c r="AP3" s="1">
        <v>43</v>
      </c>
      <c r="AQ3" s="17">
        <v>182</v>
      </c>
      <c r="AR3" s="17">
        <v>99</v>
      </c>
      <c r="AS3" s="17">
        <v>95</v>
      </c>
      <c r="AT3" s="17">
        <v>1</v>
      </c>
      <c r="AU3" s="13">
        <v>4322</v>
      </c>
      <c r="AV3" s="13">
        <v>2647</v>
      </c>
      <c r="AW3" s="13">
        <v>1904</v>
      </c>
      <c r="AX3" s="13">
        <v>3353</v>
      </c>
      <c r="AY3" s="13">
        <v>3280</v>
      </c>
      <c r="AZ3" s="13">
        <v>1943</v>
      </c>
    </row>
    <row r="4" spans="1:52" s="13" customFormat="1" x14ac:dyDescent="0.3">
      <c r="A4" s="17">
        <v>2</v>
      </c>
      <c r="B4" s="12">
        <v>0</v>
      </c>
      <c r="C4" s="12" t="s">
        <v>60</v>
      </c>
      <c r="D4" s="15">
        <v>1</v>
      </c>
      <c r="E4" s="12">
        <v>1</v>
      </c>
      <c r="F4" s="12">
        <v>1</v>
      </c>
      <c r="G4" s="12">
        <v>0</v>
      </c>
      <c r="H4" s="12">
        <v>1</v>
      </c>
      <c r="I4" s="12">
        <v>0</v>
      </c>
      <c r="J4" s="12">
        <v>0</v>
      </c>
      <c r="K4" s="17">
        <v>26932</v>
      </c>
      <c r="L4" s="17">
        <v>1</v>
      </c>
      <c r="M4" s="17"/>
      <c r="N4" s="130">
        <v>45484</v>
      </c>
      <c r="O4" s="17">
        <v>21.87</v>
      </c>
      <c r="P4" s="12">
        <v>6158.64</v>
      </c>
      <c r="Q4" s="12">
        <v>1064</v>
      </c>
      <c r="R4" s="12">
        <v>2.73</v>
      </c>
      <c r="S4" s="12">
        <v>9260.239999999998</v>
      </c>
      <c r="T4" s="12">
        <v>55</v>
      </c>
      <c r="U4" s="12">
        <v>30.97</v>
      </c>
      <c r="V4" s="12">
        <v>6523.88</v>
      </c>
      <c r="W4" s="17">
        <v>876</v>
      </c>
      <c r="X4" s="17">
        <v>6.75</v>
      </c>
      <c r="Y4" s="12">
        <v>63.770000000000209</v>
      </c>
      <c r="Z4" s="12">
        <v>257</v>
      </c>
      <c r="AA4" s="12">
        <v>7.0000000000000007E-2</v>
      </c>
      <c r="AB4" s="12">
        <v>15883.75</v>
      </c>
      <c r="AC4" s="12">
        <v>1</v>
      </c>
      <c r="AD4" s="12">
        <v>10.33</v>
      </c>
      <c r="AE4" s="12">
        <v>-243.95000000000005</v>
      </c>
      <c r="AF4" s="12">
        <v>252</v>
      </c>
      <c r="AG4" s="32">
        <v>1.0354558798695849E-2</v>
      </c>
      <c r="AH4" s="32">
        <v>1.9213174748398901E-2</v>
      </c>
      <c r="AI4" s="32">
        <v>1.715263319309219</v>
      </c>
      <c r="AJ4" s="32">
        <v>-0.14173228346456693</v>
      </c>
      <c r="AK4" s="32">
        <v>-3.739339166263022E-2</v>
      </c>
      <c r="AL4" s="32">
        <v>0.34733988478481875</v>
      </c>
      <c r="AM4" s="17">
        <v>2517</v>
      </c>
      <c r="AN4" s="17">
        <v>1064</v>
      </c>
      <c r="AO4" s="17">
        <v>876</v>
      </c>
      <c r="AP4" s="1">
        <v>55</v>
      </c>
      <c r="AQ4" s="17">
        <v>385</v>
      </c>
      <c r="AR4" s="17">
        <v>257</v>
      </c>
      <c r="AS4" s="17">
        <v>252</v>
      </c>
      <c r="AT4" s="17">
        <v>1</v>
      </c>
      <c r="AU4" s="13">
        <v>3766</v>
      </c>
      <c r="AV4" s="13">
        <v>1935</v>
      </c>
      <c r="AW4" s="13">
        <v>1961</v>
      </c>
      <c r="AX4" s="13">
        <v>2838</v>
      </c>
      <c r="AY4" s="13">
        <v>2811</v>
      </c>
      <c r="AZ4" s="13">
        <v>2016</v>
      </c>
    </row>
    <row r="5" spans="1:52" s="13" customFormat="1" x14ac:dyDescent="0.3">
      <c r="A5" s="17">
        <v>3</v>
      </c>
      <c r="B5" s="12">
        <v>0</v>
      </c>
      <c r="C5" s="12" t="s">
        <v>60</v>
      </c>
      <c r="D5" s="15">
        <v>2</v>
      </c>
      <c r="E5" s="12">
        <v>0</v>
      </c>
      <c r="F5" s="12">
        <v>1</v>
      </c>
      <c r="G5" s="12">
        <v>0</v>
      </c>
      <c r="H5" s="12">
        <v>1</v>
      </c>
      <c r="I5" s="12">
        <v>0</v>
      </c>
      <c r="J5" s="12">
        <v>0</v>
      </c>
      <c r="K5" s="17">
        <v>1008</v>
      </c>
      <c r="L5" s="17">
        <v>1</v>
      </c>
      <c r="M5" s="17"/>
      <c r="N5" s="130">
        <v>45484</v>
      </c>
      <c r="O5" s="17">
        <v>20.11</v>
      </c>
      <c r="P5" s="12">
        <v>1515.7800000000007</v>
      </c>
      <c r="Q5" s="12">
        <v>1006</v>
      </c>
      <c r="R5" s="12">
        <v>2.35</v>
      </c>
      <c r="S5" s="12">
        <v>6465.43</v>
      </c>
      <c r="T5" s="12">
        <v>47</v>
      </c>
      <c r="U5" s="12">
        <v>26.2</v>
      </c>
      <c r="V5" s="12">
        <v>2667.7099999999991</v>
      </c>
      <c r="W5" s="17">
        <v>780</v>
      </c>
      <c r="X5" s="17">
        <v>4.62</v>
      </c>
      <c r="Y5" s="12">
        <v>809.16000000000031</v>
      </c>
      <c r="Z5" s="12">
        <v>176</v>
      </c>
      <c r="AA5" s="12">
        <v>0.37</v>
      </c>
      <c r="AB5" s="12">
        <v>13345.56</v>
      </c>
      <c r="AC5" s="12">
        <v>5</v>
      </c>
      <c r="AD5" s="12">
        <v>6.77</v>
      </c>
      <c r="AE5" s="12">
        <v>263.92000000000007</v>
      </c>
      <c r="AF5" s="12">
        <v>166</v>
      </c>
      <c r="AG5" s="32">
        <v>0.53382416973439417</v>
      </c>
      <c r="AH5" s="32">
        <v>1.9900497512437814E-2</v>
      </c>
      <c r="AI5" s="32">
        <v>2.0641411321443428</v>
      </c>
      <c r="AJ5" s="32">
        <v>8.7248322147650992E-2</v>
      </c>
      <c r="AK5" s="32">
        <v>9.8931293131562334E-2</v>
      </c>
      <c r="AL5" s="32">
        <v>0.26400947119179163</v>
      </c>
      <c r="AM5" s="17">
        <v>1867</v>
      </c>
      <c r="AN5" s="17">
        <v>1006</v>
      </c>
      <c r="AO5" s="17">
        <v>780</v>
      </c>
      <c r="AP5" s="1">
        <v>47</v>
      </c>
      <c r="AQ5" s="17">
        <v>365</v>
      </c>
      <c r="AR5" s="17">
        <v>176</v>
      </c>
      <c r="AS5" s="17">
        <v>166</v>
      </c>
      <c r="AT5" s="17">
        <v>5</v>
      </c>
      <c r="AU5" s="13">
        <v>3963</v>
      </c>
      <c r="AV5" s="13">
        <v>2178</v>
      </c>
      <c r="AW5" s="13">
        <v>1954</v>
      </c>
      <c r="AX5" s="13">
        <v>3027</v>
      </c>
      <c r="AY5" s="13">
        <v>2948</v>
      </c>
      <c r="AZ5" s="13">
        <v>2002</v>
      </c>
    </row>
    <row r="6" spans="1:52" s="13" customFormat="1" x14ac:dyDescent="0.3">
      <c r="A6" s="17">
        <v>4</v>
      </c>
      <c r="B6" s="12">
        <v>0</v>
      </c>
      <c r="C6" s="12" t="s">
        <v>60</v>
      </c>
      <c r="D6" s="15">
        <v>1</v>
      </c>
      <c r="E6" s="12">
        <v>0</v>
      </c>
      <c r="F6" s="12">
        <v>1</v>
      </c>
      <c r="G6" s="12">
        <v>0</v>
      </c>
      <c r="H6" s="12">
        <v>1</v>
      </c>
      <c r="I6" s="12">
        <v>1071</v>
      </c>
      <c r="J6" s="17">
        <v>1</v>
      </c>
      <c r="K6" s="12">
        <v>11077</v>
      </c>
      <c r="L6" s="12">
        <v>1</v>
      </c>
      <c r="M6" s="17"/>
      <c r="N6" s="130">
        <v>45484</v>
      </c>
      <c r="O6" s="17">
        <v>22.28</v>
      </c>
      <c r="P6" s="12">
        <v>3819.7</v>
      </c>
      <c r="Q6" s="12">
        <v>1144</v>
      </c>
      <c r="R6" s="12">
        <v>3.16</v>
      </c>
      <c r="S6" s="12">
        <v>9176.7799999999988</v>
      </c>
      <c r="T6" s="12">
        <v>60</v>
      </c>
      <c r="U6" s="12">
        <v>28.88</v>
      </c>
      <c r="V6" s="12">
        <v>3702.2399999999989</v>
      </c>
      <c r="W6" s="17">
        <v>929</v>
      </c>
      <c r="X6" s="17">
        <v>5.84</v>
      </c>
      <c r="Y6" s="12">
        <v>88.300000000000182</v>
      </c>
      <c r="Z6" s="12">
        <v>223</v>
      </c>
      <c r="AA6" s="12">
        <v>0.14000000000000001</v>
      </c>
      <c r="AB6" s="12">
        <v>9001.66</v>
      </c>
      <c r="AC6" s="12">
        <v>2</v>
      </c>
      <c r="AD6" s="12">
        <v>9.1999999999999993</v>
      </c>
      <c r="AE6" s="12">
        <v>-362.11999999999989</v>
      </c>
      <c r="AF6" s="12">
        <v>220</v>
      </c>
      <c r="AG6" s="32">
        <v>2.311699871717679E-2</v>
      </c>
      <c r="AH6" s="32">
        <v>2.1104625056129322E-2</v>
      </c>
      <c r="AI6" s="32">
        <v>0.98091705369421534</v>
      </c>
      <c r="AJ6" s="32">
        <v>-7.3170731707317069E-2</v>
      </c>
      <c r="AK6" s="32">
        <v>-9.7811054928907903E-2</v>
      </c>
      <c r="AL6" s="32">
        <v>0.32841195534749729</v>
      </c>
      <c r="AM6" s="17">
        <v>2286</v>
      </c>
      <c r="AN6" s="17">
        <v>1144</v>
      </c>
      <c r="AO6" s="17">
        <v>929</v>
      </c>
      <c r="AP6" s="1">
        <v>60</v>
      </c>
      <c r="AQ6" s="17">
        <v>428</v>
      </c>
      <c r="AR6" s="17">
        <v>223</v>
      </c>
      <c r="AS6" s="17">
        <v>220</v>
      </c>
      <c r="AT6" s="17">
        <v>2</v>
      </c>
      <c r="AU6" s="13">
        <v>3958</v>
      </c>
      <c r="AV6" s="13">
        <v>2270</v>
      </c>
      <c r="AW6" s="13">
        <v>1841</v>
      </c>
      <c r="AX6" s="13">
        <v>3226</v>
      </c>
      <c r="AY6" s="13">
        <v>3196</v>
      </c>
      <c r="AZ6" s="13">
        <v>1898</v>
      </c>
    </row>
    <row r="7" spans="1:52" s="13" customFormat="1" x14ac:dyDescent="0.3">
      <c r="A7" s="17">
        <v>5</v>
      </c>
      <c r="B7" s="12">
        <v>0</v>
      </c>
      <c r="C7" s="12" t="s">
        <v>60</v>
      </c>
      <c r="D7" s="15">
        <v>1</v>
      </c>
      <c r="E7" s="12">
        <v>1</v>
      </c>
      <c r="F7" s="12">
        <v>1</v>
      </c>
      <c r="G7" s="12">
        <v>0</v>
      </c>
      <c r="H7" s="12">
        <v>0</v>
      </c>
      <c r="I7" s="12">
        <v>0</v>
      </c>
      <c r="J7" s="12">
        <v>0</v>
      </c>
      <c r="K7" s="17">
        <v>0</v>
      </c>
      <c r="L7" s="17">
        <v>0</v>
      </c>
      <c r="M7" s="17"/>
      <c r="N7" s="130">
        <v>45484</v>
      </c>
      <c r="O7" s="17">
        <v>15.43</v>
      </c>
      <c r="P7" s="12">
        <v>901.1200000000008</v>
      </c>
      <c r="Q7" s="12">
        <v>793</v>
      </c>
      <c r="R7" s="12">
        <v>2.52</v>
      </c>
      <c r="S7" s="12">
        <v>12318.55</v>
      </c>
      <c r="T7" s="12">
        <v>49</v>
      </c>
      <c r="U7" s="12">
        <v>17.66</v>
      </c>
      <c r="V7" s="12">
        <v>1525.33</v>
      </c>
      <c r="W7" s="17">
        <v>559</v>
      </c>
      <c r="X7" s="17">
        <v>1.78</v>
      </c>
      <c r="Y7" s="12">
        <v>-247.12999999999988</v>
      </c>
      <c r="Z7" s="12">
        <v>67</v>
      </c>
      <c r="AA7" s="12">
        <v>0</v>
      </c>
      <c r="AB7" s="12">
        <v>-1778.05</v>
      </c>
      <c r="AC7" s="12">
        <v>0</v>
      </c>
      <c r="AD7" s="12">
        <v>2.82</v>
      </c>
      <c r="AE7" s="12">
        <v>-345.80999999999995</v>
      </c>
      <c r="AF7" s="12">
        <v>67</v>
      </c>
      <c r="AG7" s="32">
        <v>-0.2742476029829542</v>
      </c>
      <c r="AH7" s="32">
        <v>7.133592736705577E-3</v>
      </c>
      <c r="AI7" s="32">
        <v>-0.14433922823708958</v>
      </c>
      <c r="AJ7" s="32">
        <v>-3.1746031746031744E-2</v>
      </c>
      <c r="AK7" s="32">
        <v>-0.22671159683478326</v>
      </c>
      <c r="AL7" s="32">
        <v>0.16089254257193186</v>
      </c>
      <c r="AM7" s="17">
        <v>1383</v>
      </c>
      <c r="AN7" s="17">
        <v>793</v>
      </c>
      <c r="AO7" s="17">
        <v>559</v>
      </c>
      <c r="AP7" s="1">
        <v>49</v>
      </c>
      <c r="AQ7" s="17">
        <v>96</v>
      </c>
      <c r="AR7" s="17">
        <v>67</v>
      </c>
      <c r="AS7" s="17">
        <v>67</v>
      </c>
      <c r="AT7" s="17">
        <v>0</v>
      </c>
      <c r="AU7" s="13">
        <v>4287</v>
      </c>
      <c r="AV7" s="13">
        <v>2580</v>
      </c>
      <c r="AW7" s="13">
        <v>1898</v>
      </c>
      <c r="AX7" s="13">
        <v>3188</v>
      </c>
      <c r="AY7" s="13">
        <v>3137</v>
      </c>
      <c r="AZ7" s="13">
        <v>1946</v>
      </c>
    </row>
    <row r="8" spans="1:52" s="13" customFormat="1" x14ac:dyDescent="0.3">
      <c r="A8" s="17">
        <v>6</v>
      </c>
      <c r="B8" s="12">
        <v>0</v>
      </c>
      <c r="C8" s="12" t="s">
        <v>60</v>
      </c>
      <c r="D8" s="15">
        <v>1</v>
      </c>
      <c r="E8" s="12">
        <v>1</v>
      </c>
      <c r="F8" s="12">
        <v>1</v>
      </c>
      <c r="G8" s="12">
        <v>0</v>
      </c>
      <c r="H8" s="12">
        <v>0</v>
      </c>
      <c r="I8" s="12">
        <v>0</v>
      </c>
      <c r="J8" s="12">
        <v>0</v>
      </c>
      <c r="K8" s="17">
        <v>0</v>
      </c>
      <c r="L8" s="17">
        <v>0</v>
      </c>
      <c r="M8" s="17"/>
      <c r="N8" s="130">
        <v>45484</v>
      </c>
      <c r="O8" s="17">
        <v>5.14</v>
      </c>
      <c r="P8" s="12">
        <v>-1375.71</v>
      </c>
      <c r="Q8" s="12">
        <v>264</v>
      </c>
      <c r="R8" s="12">
        <v>1.05</v>
      </c>
      <c r="S8" s="12">
        <v>3660.4900000000007</v>
      </c>
      <c r="T8" s="12">
        <v>21</v>
      </c>
      <c r="U8" s="12">
        <v>4.51</v>
      </c>
      <c r="V8" s="12">
        <v>-627.25999999999931</v>
      </c>
      <c r="W8" s="12">
        <v>141</v>
      </c>
      <c r="X8" s="17">
        <v>3.54</v>
      </c>
      <c r="Y8" s="12">
        <v>-167.75</v>
      </c>
      <c r="Z8" s="12">
        <v>134</v>
      </c>
      <c r="AA8" s="12">
        <v>0</v>
      </c>
      <c r="AB8" s="12">
        <v>-1893.88</v>
      </c>
      <c r="AC8" s="12">
        <v>0</v>
      </c>
      <c r="AD8" s="12">
        <v>5.69</v>
      </c>
      <c r="AE8" s="12">
        <v>-396.66000000000008</v>
      </c>
      <c r="AF8" s="12">
        <v>132</v>
      </c>
      <c r="AG8" s="32">
        <v>0.1219370361486069</v>
      </c>
      <c r="AH8" s="32">
        <v>4.0935672514619881E-2</v>
      </c>
      <c r="AI8" s="32">
        <v>-0.51738428461763308</v>
      </c>
      <c r="AJ8" s="32">
        <v>-0.14117647058823526</v>
      </c>
      <c r="AK8" s="32">
        <v>0.63236935242164416</v>
      </c>
      <c r="AL8" s="32">
        <v>1.3016241299303946</v>
      </c>
      <c r="AM8" s="17">
        <v>416</v>
      </c>
      <c r="AN8" s="17">
        <v>264</v>
      </c>
      <c r="AO8" s="17">
        <v>141</v>
      </c>
      <c r="AP8" s="1">
        <v>21</v>
      </c>
      <c r="AQ8" s="17">
        <v>194</v>
      </c>
      <c r="AR8" s="17">
        <v>134</v>
      </c>
      <c r="AS8" s="17">
        <v>132</v>
      </c>
      <c r="AT8" s="17">
        <v>0</v>
      </c>
      <c r="AU8" s="13">
        <v>4837</v>
      </c>
      <c r="AV8" s="13">
        <v>2976</v>
      </c>
      <c r="AW8" s="13">
        <v>1976</v>
      </c>
      <c r="AX8" s="13">
        <v>3183</v>
      </c>
      <c r="AY8" s="13">
        <v>3111</v>
      </c>
      <c r="AZ8" s="13">
        <v>1996</v>
      </c>
    </row>
    <row r="9" spans="1:52" s="13" customFormat="1" x14ac:dyDescent="0.3">
      <c r="A9" s="17">
        <v>7</v>
      </c>
      <c r="B9" s="12">
        <v>1</v>
      </c>
      <c r="C9" s="12" t="s">
        <v>61</v>
      </c>
      <c r="D9" s="15">
        <v>2</v>
      </c>
      <c r="E9" s="12">
        <v>1</v>
      </c>
      <c r="F9" s="12">
        <v>1</v>
      </c>
      <c r="G9" s="12">
        <v>0</v>
      </c>
      <c r="H9" s="12">
        <v>1</v>
      </c>
      <c r="I9" s="12">
        <v>104</v>
      </c>
      <c r="J9" s="12">
        <v>1</v>
      </c>
      <c r="K9" s="12">
        <v>136</v>
      </c>
      <c r="L9" s="12">
        <v>1</v>
      </c>
      <c r="M9" s="17"/>
      <c r="N9" s="130">
        <v>45484</v>
      </c>
      <c r="O9" s="17">
        <v>24</v>
      </c>
      <c r="P9" s="12">
        <v>3750.2200000000003</v>
      </c>
      <c r="Q9" s="12">
        <v>1241</v>
      </c>
      <c r="R9" s="12">
        <v>3.25</v>
      </c>
      <c r="S9" s="12">
        <v>8780.89</v>
      </c>
      <c r="T9" s="12">
        <v>64</v>
      </c>
      <c r="U9" s="12">
        <v>31.82</v>
      </c>
      <c r="V9" s="12">
        <v>3775.55</v>
      </c>
      <c r="W9" s="12">
        <v>1015</v>
      </c>
      <c r="X9" s="17">
        <v>4.9800000000000004</v>
      </c>
      <c r="Y9" s="12">
        <v>617.76000000000022</v>
      </c>
      <c r="Z9" s="12">
        <v>204</v>
      </c>
      <c r="AA9" s="12">
        <v>0.5</v>
      </c>
      <c r="AB9" s="12">
        <v>7532.86</v>
      </c>
      <c r="AC9" s="12">
        <v>8</v>
      </c>
      <c r="AD9" s="12">
        <v>7.62</v>
      </c>
      <c r="AE9" s="12">
        <v>238.53999999999996</v>
      </c>
      <c r="AF9" s="12">
        <v>189</v>
      </c>
      <c r="AG9" s="32">
        <v>0.16472633605495149</v>
      </c>
      <c r="AH9" s="32">
        <v>1.3755731554814507E-2</v>
      </c>
      <c r="AI9" s="32">
        <v>0.85786976035458817</v>
      </c>
      <c r="AJ9" s="32">
        <v>0.19662921348314605</v>
      </c>
      <c r="AK9" s="32">
        <v>6.3180198911416866E-2</v>
      </c>
      <c r="AL9" s="32">
        <v>0.24843492586490937</v>
      </c>
      <c r="AM9" s="17">
        <v>2774</v>
      </c>
      <c r="AN9" s="17">
        <v>1241</v>
      </c>
      <c r="AO9" s="17">
        <v>1015</v>
      </c>
      <c r="AP9" s="1">
        <v>64</v>
      </c>
      <c r="AQ9" s="17">
        <v>301</v>
      </c>
      <c r="AR9" s="17">
        <v>204</v>
      </c>
      <c r="AS9" s="17">
        <v>189</v>
      </c>
      <c r="AT9" s="17">
        <v>8</v>
      </c>
      <c r="AU9" s="13">
        <v>3882</v>
      </c>
      <c r="AV9" s="13">
        <v>2158</v>
      </c>
      <c r="AW9" s="13">
        <v>1899</v>
      </c>
      <c r="AX9" s="13">
        <v>3186</v>
      </c>
      <c r="AY9" s="13">
        <v>3156</v>
      </c>
      <c r="AZ9" s="13">
        <v>1966</v>
      </c>
    </row>
    <row r="10" spans="1:52" s="13" customFormat="1" x14ac:dyDescent="0.3">
      <c r="A10" s="17">
        <v>8</v>
      </c>
      <c r="B10" s="12">
        <v>1</v>
      </c>
      <c r="C10" s="12" t="s">
        <v>61</v>
      </c>
      <c r="D10" s="15">
        <v>1</v>
      </c>
      <c r="E10" s="12">
        <v>1</v>
      </c>
      <c r="F10" s="12">
        <v>1</v>
      </c>
      <c r="G10" s="12">
        <v>0</v>
      </c>
      <c r="H10" s="12">
        <v>1</v>
      </c>
      <c r="I10" s="12">
        <v>0</v>
      </c>
      <c r="J10" s="12">
        <v>0</v>
      </c>
      <c r="K10" s="17">
        <v>72</v>
      </c>
      <c r="L10" s="17">
        <v>1</v>
      </c>
      <c r="M10" s="17"/>
      <c r="N10" s="130">
        <v>45484</v>
      </c>
      <c r="O10" s="17">
        <v>25.43</v>
      </c>
      <c r="P10" s="12">
        <v>4297.6800000000012</v>
      </c>
      <c r="Q10" s="12">
        <v>1321</v>
      </c>
      <c r="R10" s="12">
        <v>3.97</v>
      </c>
      <c r="S10" s="12">
        <v>8643.59</v>
      </c>
      <c r="T10" s="12">
        <v>81</v>
      </c>
      <c r="U10" s="12">
        <v>33.159999999999997</v>
      </c>
      <c r="V10" s="12">
        <v>5330.56</v>
      </c>
      <c r="W10" s="12">
        <v>1037</v>
      </c>
      <c r="X10" s="17">
        <v>4</v>
      </c>
      <c r="Y10" s="12">
        <v>768.55000000000018</v>
      </c>
      <c r="Z10" s="12">
        <v>151</v>
      </c>
      <c r="AA10" s="12">
        <v>0</v>
      </c>
      <c r="AB10" s="12">
        <v>-2086.17</v>
      </c>
      <c r="AC10" s="12">
        <v>0</v>
      </c>
      <c r="AD10" s="12">
        <v>6.06</v>
      </c>
      <c r="AE10" s="12">
        <v>373.02</v>
      </c>
      <c r="AF10" s="12">
        <v>148</v>
      </c>
      <c r="AG10" s="32">
        <v>0.17882904264626495</v>
      </c>
      <c r="AH10" s="32">
        <v>1.4948859166011016E-2</v>
      </c>
      <c r="AI10" s="32">
        <v>-0.24135457604999774</v>
      </c>
      <c r="AJ10" s="32">
        <v>-0.11594202898550722</v>
      </c>
      <c r="AK10" s="32">
        <v>6.9977638371953407E-2</v>
      </c>
      <c r="AL10" s="32">
        <v>0.19129878438899553</v>
      </c>
      <c r="AM10" s="17">
        <v>3195</v>
      </c>
      <c r="AN10" s="17">
        <v>1321</v>
      </c>
      <c r="AO10" s="17">
        <v>1037</v>
      </c>
      <c r="AP10" s="1">
        <v>81</v>
      </c>
      <c r="AQ10" s="17">
        <v>334</v>
      </c>
      <c r="AR10" s="17">
        <v>151</v>
      </c>
      <c r="AS10" s="17">
        <v>148</v>
      </c>
      <c r="AT10" s="17">
        <v>0</v>
      </c>
      <c r="AU10" s="13">
        <v>3822</v>
      </c>
      <c r="AV10" s="13">
        <v>2069</v>
      </c>
      <c r="AW10" s="13">
        <v>1959</v>
      </c>
      <c r="AX10" s="13">
        <v>3102</v>
      </c>
      <c r="AY10" s="13">
        <v>3098</v>
      </c>
      <c r="AZ10" s="13">
        <v>2040</v>
      </c>
    </row>
    <row r="11" spans="1:52" s="13" customFormat="1" x14ac:dyDescent="0.3">
      <c r="A11" s="17">
        <v>9</v>
      </c>
      <c r="B11" s="12">
        <v>1</v>
      </c>
      <c r="C11" s="12" t="s">
        <v>61</v>
      </c>
      <c r="D11" s="15">
        <v>2</v>
      </c>
      <c r="E11" s="12">
        <v>0</v>
      </c>
      <c r="F11" s="12">
        <v>1</v>
      </c>
      <c r="G11" s="12">
        <v>0</v>
      </c>
      <c r="H11" s="12">
        <v>1</v>
      </c>
      <c r="I11" s="12">
        <v>0</v>
      </c>
      <c r="J11" s="12">
        <v>0</v>
      </c>
      <c r="K11" s="17">
        <v>789</v>
      </c>
      <c r="L11" s="17">
        <v>1</v>
      </c>
      <c r="M11" s="17"/>
      <c r="N11" s="130">
        <v>45484</v>
      </c>
      <c r="O11" s="12">
        <v>22.87</v>
      </c>
      <c r="P11" s="12">
        <v>9075.2099999999991</v>
      </c>
      <c r="Q11" s="12">
        <v>1152</v>
      </c>
      <c r="R11" s="12">
        <v>2.65</v>
      </c>
      <c r="S11" s="12">
        <v>2416.3599999999997</v>
      </c>
      <c r="T11" s="12">
        <v>51</v>
      </c>
      <c r="U11" s="12">
        <v>31.36</v>
      </c>
      <c r="V11" s="12">
        <v>9894.630000000001</v>
      </c>
      <c r="W11" s="12">
        <v>968</v>
      </c>
      <c r="X11" s="17">
        <v>1.5</v>
      </c>
      <c r="Y11" s="12">
        <v>1204.77</v>
      </c>
      <c r="Z11" s="12">
        <v>61</v>
      </c>
      <c r="AA11" s="12">
        <v>0.3</v>
      </c>
      <c r="AB11" s="12">
        <v>3930.71</v>
      </c>
      <c r="AC11" s="12">
        <v>5</v>
      </c>
      <c r="AD11" s="12">
        <v>2.25</v>
      </c>
      <c r="AE11" s="12">
        <v>577.45000000000027</v>
      </c>
      <c r="AF11" s="12">
        <v>54</v>
      </c>
      <c r="AG11" s="32">
        <v>0.13275395280109223</v>
      </c>
      <c r="AH11" s="32">
        <v>6.1242344706911641E-3</v>
      </c>
      <c r="AI11" s="32">
        <v>1.6267071131785</v>
      </c>
      <c r="AJ11" s="32">
        <v>0.22680412371134018</v>
      </c>
      <c r="AK11" s="32">
        <v>5.8359938673805914E-2</v>
      </c>
      <c r="AL11" s="32">
        <v>7.3113207547169809E-2</v>
      </c>
      <c r="AM11" s="17">
        <v>2849</v>
      </c>
      <c r="AN11" s="17">
        <v>1152</v>
      </c>
      <c r="AO11" s="17">
        <v>968</v>
      </c>
      <c r="AP11" s="17">
        <v>51</v>
      </c>
      <c r="AQ11" s="17">
        <v>127</v>
      </c>
      <c r="AR11" s="17">
        <v>61</v>
      </c>
      <c r="AS11" s="17">
        <v>54</v>
      </c>
      <c r="AT11" s="17">
        <v>5</v>
      </c>
      <c r="AU11" s="13">
        <v>3863</v>
      </c>
      <c r="AV11" s="13">
        <v>2110</v>
      </c>
      <c r="AW11" s="13">
        <v>1874</v>
      </c>
      <c r="AX11" s="13">
        <v>3123</v>
      </c>
      <c r="AY11" s="13">
        <v>3063</v>
      </c>
      <c r="AZ11" s="13">
        <v>1925</v>
      </c>
    </row>
    <row r="12" spans="1:52" s="13" customFormat="1" x14ac:dyDescent="0.3">
      <c r="A12" s="17">
        <v>10</v>
      </c>
      <c r="B12" s="12">
        <v>1</v>
      </c>
      <c r="C12" s="12" t="s">
        <v>61</v>
      </c>
      <c r="D12" s="15">
        <v>2</v>
      </c>
      <c r="E12" s="12">
        <v>1</v>
      </c>
      <c r="F12" s="12">
        <v>1</v>
      </c>
      <c r="G12" s="12">
        <v>0</v>
      </c>
      <c r="H12" s="12">
        <v>1</v>
      </c>
      <c r="I12" s="12">
        <v>0</v>
      </c>
      <c r="J12" s="12">
        <v>0</v>
      </c>
      <c r="K12" s="17">
        <v>912</v>
      </c>
      <c r="L12" s="17">
        <v>1</v>
      </c>
      <c r="M12" s="17"/>
      <c r="N12" s="130">
        <v>45484</v>
      </c>
      <c r="O12" s="12">
        <v>26.16</v>
      </c>
      <c r="P12" s="12">
        <v>9816.2999999999993</v>
      </c>
      <c r="Q12" s="12">
        <v>1341</v>
      </c>
      <c r="R12" s="12">
        <v>3.53</v>
      </c>
      <c r="S12" s="12">
        <v>14990.599999999999</v>
      </c>
      <c r="T12" s="12">
        <v>68</v>
      </c>
      <c r="U12" s="12">
        <v>32.42</v>
      </c>
      <c r="V12" s="12">
        <v>16180.309999999998</v>
      </c>
      <c r="W12" s="12">
        <v>1032</v>
      </c>
      <c r="X12" s="17">
        <v>5.34</v>
      </c>
      <c r="Y12" s="12">
        <v>276.37000000000012</v>
      </c>
      <c r="Z12" s="12">
        <v>219</v>
      </c>
      <c r="AA12" s="12">
        <v>0.36</v>
      </c>
      <c r="AB12" s="12">
        <v>9043.99</v>
      </c>
      <c r="AC12" s="12">
        <v>5</v>
      </c>
      <c r="AD12" s="12">
        <v>7.76</v>
      </c>
      <c r="AE12" s="12">
        <v>-129.08000000000015</v>
      </c>
      <c r="AF12" s="12">
        <v>210</v>
      </c>
      <c r="AG12" s="32">
        <v>2.8154192516528644E-2</v>
      </c>
      <c r="AH12" s="32">
        <v>1.4531548757170174E-2</v>
      </c>
      <c r="AI12" s="32">
        <v>0.60331074139794272</v>
      </c>
      <c r="AJ12" s="32">
        <v>0.1372549019607843</v>
      </c>
      <c r="AK12" s="32">
        <v>-7.9775974625949791E-3</v>
      </c>
      <c r="AL12" s="32">
        <v>0.25677031093279834</v>
      </c>
      <c r="AM12" s="17">
        <v>4012</v>
      </c>
      <c r="AN12" s="17">
        <v>1341</v>
      </c>
      <c r="AO12" s="17">
        <v>1032</v>
      </c>
      <c r="AP12" s="17">
        <v>68</v>
      </c>
      <c r="AQ12" s="17">
        <v>347</v>
      </c>
      <c r="AR12" s="17">
        <v>219</v>
      </c>
      <c r="AS12" s="17">
        <v>210</v>
      </c>
      <c r="AT12" s="17">
        <v>5</v>
      </c>
      <c r="AU12" s="13">
        <v>3725</v>
      </c>
      <c r="AV12" s="13">
        <v>2128</v>
      </c>
      <c r="AW12" s="13">
        <v>1857</v>
      </c>
      <c r="AX12" s="13">
        <v>3120</v>
      </c>
      <c r="AY12" s="13">
        <v>3159</v>
      </c>
      <c r="AZ12" s="13">
        <v>1926</v>
      </c>
    </row>
    <row r="13" spans="1:52" s="13" customFormat="1" x14ac:dyDescent="0.3">
      <c r="A13" s="17">
        <v>11</v>
      </c>
      <c r="B13" s="12">
        <v>1</v>
      </c>
      <c r="C13" s="12" t="s">
        <v>61</v>
      </c>
      <c r="D13" s="15">
        <v>1</v>
      </c>
      <c r="E13" s="12">
        <v>0</v>
      </c>
      <c r="F13" s="12">
        <v>1</v>
      </c>
      <c r="G13" s="12">
        <v>0</v>
      </c>
      <c r="H13" s="12">
        <v>0</v>
      </c>
      <c r="I13" s="12">
        <v>0</v>
      </c>
      <c r="J13" s="12">
        <v>0</v>
      </c>
      <c r="K13" s="17">
        <v>0</v>
      </c>
      <c r="L13" s="17">
        <v>0</v>
      </c>
      <c r="M13" s="17"/>
      <c r="N13" s="130">
        <v>45484</v>
      </c>
      <c r="O13" s="12">
        <v>23.69</v>
      </c>
      <c r="P13" s="12">
        <v>5418.79</v>
      </c>
      <c r="Q13" s="12">
        <v>1230</v>
      </c>
      <c r="R13" s="12">
        <v>3.51</v>
      </c>
      <c r="S13" s="12">
        <v>13399.41</v>
      </c>
      <c r="T13" s="12">
        <v>67</v>
      </c>
      <c r="U13" s="12">
        <v>29.44</v>
      </c>
      <c r="V13" s="12">
        <v>8592.130000000001</v>
      </c>
      <c r="W13" s="12">
        <v>962</v>
      </c>
      <c r="X13" s="17">
        <v>2.02</v>
      </c>
      <c r="Y13" s="12">
        <v>237.65000000000009</v>
      </c>
      <c r="Z13" s="12">
        <v>77</v>
      </c>
      <c r="AA13" s="12">
        <v>0</v>
      </c>
      <c r="AB13" s="12">
        <v>-1925.6</v>
      </c>
      <c r="AC13" s="12">
        <v>0</v>
      </c>
      <c r="AD13" s="12">
        <v>3.16</v>
      </c>
      <c r="AE13" s="12">
        <v>-23.069999999999936</v>
      </c>
      <c r="AF13" s="12">
        <v>76</v>
      </c>
      <c r="AG13" s="32">
        <v>4.3856654345342798E-2</v>
      </c>
      <c r="AH13" s="32">
        <v>8.8682432432432429E-3</v>
      </c>
      <c r="AI13" s="32">
        <v>-0.14370781997117782</v>
      </c>
      <c r="AJ13" s="32">
        <v>-0.16470588235294126</v>
      </c>
      <c r="AK13" s="32">
        <v>-2.6850152406911829E-3</v>
      </c>
      <c r="AL13" s="32">
        <v>0.11501120238984316</v>
      </c>
      <c r="AM13" s="17">
        <v>3974</v>
      </c>
      <c r="AN13" s="17">
        <v>1230</v>
      </c>
      <c r="AO13" s="17">
        <v>962</v>
      </c>
      <c r="AP13" s="17">
        <v>67</v>
      </c>
      <c r="AQ13" s="17">
        <v>191</v>
      </c>
      <c r="AR13" s="17">
        <v>77</v>
      </c>
      <c r="AS13" s="17">
        <v>76</v>
      </c>
      <c r="AT13" s="17">
        <v>0</v>
      </c>
      <c r="AU13" s="13">
        <v>3897</v>
      </c>
      <c r="AV13" s="13">
        <v>2283</v>
      </c>
      <c r="AW13" s="13">
        <v>1841</v>
      </c>
      <c r="AX13" s="13">
        <v>3218</v>
      </c>
      <c r="AY13" s="13">
        <v>3246</v>
      </c>
      <c r="AZ13" s="13">
        <v>1909</v>
      </c>
    </row>
    <row r="14" spans="1:52" s="13" customFormat="1" x14ac:dyDescent="0.3">
      <c r="A14" s="17">
        <v>12</v>
      </c>
      <c r="B14" s="12">
        <v>1</v>
      </c>
      <c r="C14" s="12" t="s">
        <v>61</v>
      </c>
      <c r="D14" s="15">
        <v>1</v>
      </c>
      <c r="E14" s="12">
        <v>1</v>
      </c>
      <c r="F14" s="12">
        <v>1</v>
      </c>
      <c r="G14" s="12">
        <v>0</v>
      </c>
      <c r="H14" s="12">
        <v>0</v>
      </c>
      <c r="I14" s="12">
        <v>0</v>
      </c>
      <c r="J14" s="12">
        <v>0</v>
      </c>
      <c r="K14" s="17">
        <v>0</v>
      </c>
      <c r="L14" s="17">
        <v>0</v>
      </c>
      <c r="M14" s="17"/>
      <c r="N14" s="130">
        <v>45484</v>
      </c>
      <c r="O14" s="12">
        <v>8.61</v>
      </c>
      <c r="P14" s="12">
        <v>96.950000000000728</v>
      </c>
      <c r="Q14" s="12">
        <v>453</v>
      </c>
      <c r="R14" s="12">
        <v>1.39</v>
      </c>
      <c r="S14" s="12">
        <v>1520.08</v>
      </c>
      <c r="T14" s="12">
        <v>28</v>
      </c>
      <c r="U14" s="12">
        <v>8.4</v>
      </c>
      <c r="V14" s="12">
        <v>1080.9799999999996</v>
      </c>
      <c r="W14" s="12">
        <v>271</v>
      </c>
      <c r="X14" s="17">
        <v>1.05</v>
      </c>
      <c r="Y14" s="12">
        <v>72.850000000000136</v>
      </c>
      <c r="Z14" s="12">
        <v>46</v>
      </c>
      <c r="AA14" s="12">
        <v>0</v>
      </c>
      <c r="AB14" s="12">
        <v>-1789.17</v>
      </c>
      <c r="AC14" s="12">
        <v>0</v>
      </c>
      <c r="AD14" s="12">
        <v>1.64</v>
      </c>
      <c r="AE14" s="12">
        <v>-36.950000000000045</v>
      </c>
      <c r="AF14" s="12">
        <v>46</v>
      </c>
      <c r="AG14" s="32">
        <v>0.75141825683341501</v>
      </c>
      <c r="AH14" s="32">
        <v>1.2790697674418604E-2</v>
      </c>
      <c r="AI14" s="32">
        <v>-1.1770235777064366</v>
      </c>
      <c r="AJ14" s="32">
        <v>-6.7961165048543715E-2</v>
      </c>
      <c r="AK14" s="32">
        <v>-3.4181946011952173E-2</v>
      </c>
      <c r="AL14" s="32">
        <v>0.19402985074626861</v>
      </c>
      <c r="AM14" s="17">
        <v>762</v>
      </c>
      <c r="AN14" s="17">
        <v>453</v>
      </c>
      <c r="AO14" s="17">
        <v>271</v>
      </c>
      <c r="AP14" s="17">
        <v>28</v>
      </c>
      <c r="AQ14" s="17">
        <v>102</v>
      </c>
      <c r="AR14" s="17">
        <v>46</v>
      </c>
      <c r="AS14" s="17">
        <v>46</v>
      </c>
      <c r="AT14" s="17">
        <v>0</v>
      </c>
      <c r="AU14" s="13">
        <v>4764</v>
      </c>
      <c r="AV14" s="13">
        <v>2942</v>
      </c>
      <c r="AW14" s="13">
        <v>1986</v>
      </c>
      <c r="AX14" s="13">
        <v>3246</v>
      </c>
      <c r="AY14" s="13">
        <v>3197</v>
      </c>
      <c r="AZ14" s="13">
        <v>2012</v>
      </c>
    </row>
    <row r="15" spans="1:52" s="13" customFormat="1" x14ac:dyDescent="0.3">
      <c r="A15" s="17">
        <v>13</v>
      </c>
      <c r="B15" s="12">
        <v>2</v>
      </c>
      <c r="C15" s="12" t="s">
        <v>62</v>
      </c>
      <c r="D15" s="15">
        <v>1</v>
      </c>
      <c r="E15" s="12">
        <v>1</v>
      </c>
      <c r="F15" s="12">
        <v>1</v>
      </c>
      <c r="G15" s="12">
        <v>0</v>
      </c>
      <c r="H15" s="12">
        <v>1</v>
      </c>
      <c r="I15" s="12">
        <v>0</v>
      </c>
      <c r="J15" s="12">
        <v>0</v>
      </c>
      <c r="K15" s="17">
        <v>1092</v>
      </c>
      <c r="L15" s="17">
        <v>1</v>
      </c>
      <c r="M15" s="17"/>
      <c r="N15" s="130">
        <v>45484</v>
      </c>
      <c r="O15" s="12">
        <v>16.04</v>
      </c>
      <c r="P15" s="12">
        <v>1774.9400000000005</v>
      </c>
      <c r="Q15" s="12">
        <v>811</v>
      </c>
      <c r="R15" s="12">
        <v>2.4500000000000002</v>
      </c>
      <c r="S15" s="12">
        <v>6784.1600000000008</v>
      </c>
      <c r="T15" s="12">
        <v>48</v>
      </c>
      <c r="U15" s="12">
        <v>19.45</v>
      </c>
      <c r="V15" s="12">
        <v>2218.0099999999993</v>
      </c>
      <c r="W15" s="12">
        <v>598</v>
      </c>
      <c r="X15" s="17">
        <v>1.96</v>
      </c>
      <c r="Y15" s="12">
        <v>-368.27</v>
      </c>
      <c r="Z15" s="12">
        <v>80</v>
      </c>
      <c r="AA15" s="12">
        <v>7.0000000000000007E-2</v>
      </c>
      <c r="AB15" s="12">
        <v>4749.3099999999995</v>
      </c>
      <c r="AC15" s="12">
        <v>1</v>
      </c>
      <c r="AD15" s="12">
        <v>3.05</v>
      </c>
      <c r="AE15" s="12">
        <v>-503.45000000000005</v>
      </c>
      <c r="AF15" s="12">
        <v>78</v>
      </c>
      <c r="AG15" s="32">
        <v>-0.20748306985024839</v>
      </c>
      <c r="AH15" s="32">
        <v>9.3574547723019354E-3</v>
      </c>
      <c r="AI15" s="32">
        <v>0.70005866606919631</v>
      </c>
      <c r="AJ15" s="32">
        <v>-1.7341040462427744E-2</v>
      </c>
      <c r="AK15" s="32">
        <v>-0.22698274579465386</v>
      </c>
      <c r="AL15" s="32">
        <v>0.15856914041644418</v>
      </c>
      <c r="AM15" s="17">
        <v>1513</v>
      </c>
      <c r="AN15" s="17">
        <v>811</v>
      </c>
      <c r="AO15" s="17">
        <v>598</v>
      </c>
      <c r="AP15" s="17">
        <v>48</v>
      </c>
      <c r="AQ15" s="17">
        <v>136</v>
      </c>
      <c r="AR15" s="17">
        <v>80</v>
      </c>
      <c r="AS15" s="17">
        <v>78</v>
      </c>
      <c r="AT15" s="17">
        <v>1</v>
      </c>
      <c r="AU15" s="13">
        <v>4219</v>
      </c>
      <c r="AV15" s="13">
        <v>2466</v>
      </c>
      <c r="AW15" s="13">
        <v>1912</v>
      </c>
      <c r="AX15" s="13">
        <v>3111</v>
      </c>
      <c r="AY15" s="13">
        <v>3060</v>
      </c>
      <c r="AZ15" s="13">
        <v>1962</v>
      </c>
    </row>
    <row r="16" spans="1:52" s="13" customFormat="1" x14ac:dyDescent="0.3">
      <c r="A16" s="17">
        <v>14</v>
      </c>
      <c r="B16" s="12">
        <v>2</v>
      </c>
      <c r="C16" s="12" t="s">
        <v>62</v>
      </c>
      <c r="D16" s="15">
        <v>2</v>
      </c>
      <c r="E16" s="12">
        <v>0</v>
      </c>
      <c r="F16" s="12">
        <v>1</v>
      </c>
      <c r="G16" s="12">
        <v>0</v>
      </c>
      <c r="H16" s="12">
        <v>1</v>
      </c>
      <c r="I16" s="12">
        <v>0</v>
      </c>
      <c r="J16" s="12">
        <v>0</v>
      </c>
      <c r="K16" s="17">
        <v>3102</v>
      </c>
      <c r="L16" s="17">
        <v>1</v>
      </c>
      <c r="M16" s="17"/>
      <c r="N16" s="130">
        <v>45484</v>
      </c>
      <c r="O16" s="12">
        <v>18.77</v>
      </c>
      <c r="P16" s="12">
        <v>2043.9500000000007</v>
      </c>
      <c r="Q16" s="12">
        <v>959</v>
      </c>
      <c r="R16" s="12">
        <v>2.61</v>
      </c>
      <c r="S16" s="12">
        <v>12392.48</v>
      </c>
      <c r="T16" s="12">
        <v>50</v>
      </c>
      <c r="U16" s="12">
        <v>22.56</v>
      </c>
      <c r="V16" s="12">
        <v>2878.71</v>
      </c>
      <c r="W16" s="12">
        <v>716</v>
      </c>
      <c r="X16" s="17">
        <v>1.32</v>
      </c>
      <c r="Y16" s="12">
        <v>-406.82999999999993</v>
      </c>
      <c r="Z16" s="12">
        <v>53</v>
      </c>
      <c r="AA16" s="12">
        <v>7.0000000000000007E-2</v>
      </c>
      <c r="AB16" s="12">
        <v>4180.2700000000004</v>
      </c>
      <c r="AC16" s="12">
        <v>1</v>
      </c>
      <c r="AD16" s="12">
        <v>2.04</v>
      </c>
      <c r="AE16" s="12">
        <v>-538.39999999999986</v>
      </c>
      <c r="AF16" s="12">
        <v>51</v>
      </c>
      <c r="AG16" s="32">
        <v>-0.19904107243327859</v>
      </c>
      <c r="AH16" s="32">
        <v>5.8635394456289982E-3</v>
      </c>
      <c r="AI16" s="32">
        <v>0.33732311853640279</v>
      </c>
      <c r="AJ16" s="32">
        <v>0</v>
      </c>
      <c r="AK16" s="32">
        <v>-0.18702821750019968</v>
      </c>
      <c r="AL16" s="32">
        <v>9.0866944830783489E-2</v>
      </c>
      <c r="AM16" s="17">
        <v>1929</v>
      </c>
      <c r="AN16" s="17">
        <v>959</v>
      </c>
      <c r="AO16" s="17">
        <v>716</v>
      </c>
      <c r="AP16" s="17">
        <v>50</v>
      </c>
      <c r="AQ16" s="17">
        <v>98</v>
      </c>
      <c r="AR16" s="17">
        <v>53</v>
      </c>
      <c r="AS16" s="17">
        <v>51</v>
      </c>
      <c r="AT16" s="17">
        <v>1</v>
      </c>
      <c r="AU16" s="13">
        <v>4102</v>
      </c>
      <c r="AV16" s="13">
        <v>2441</v>
      </c>
      <c r="AW16" s="13">
        <v>1863</v>
      </c>
      <c r="AX16" s="13">
        <v>3204</v>
      </c>
      <c r="AY16" s="13">
        <v>3154</v>
      </c>
      <c r="AZ16" s="13">
        <v>1915</v>
      </c>
    </row>
    <row r="17" spans="1:52" s="13" customFormat="1" x14ac:dyDescent="0.3">
      <c r="A17" s="17">
        <v>15</v>
      </c>
      <c r="B17" s="12">
        <v>2</v>
      </c>
      <c r="C17" s="12" t="s">
        <v>62</v>
      </c>
      <c r="D17" s="15">
        <v>2</v>
      </c>
      <c r="E17" s="12">
        <v>1</v>
      </c>
      <c r="F17" s="12">
        <v>1</v>
      </c>
      <c r="G17" s="12">
        <v>0</v>
      </c>
      <c r="H17" s="12">
        <v>1</v>
      </c>
      <c r="I17" s="12">
        <v>0</v>
      </c>
      <c r="J17" s="12">
        <v>0</v>
      </c>
      <c r="K17" s="17">
        <v>5036</v>
      </c>
      <c r="L17" s="17">
        <v>1</v>
      </c>
      <c r="M17" s="17"/>
      <c r="N17" s="130">
        <v>45484</v>
      </c>
      <c r="O17" s="12">
        <v>18.399999999999999</v>
      </c>
      <c r="P17" s="12">
        <v>2047.3100000000004</v>
      </c>
      <c r="Q17" s="12">
        <v>951</v>
      </c>
      <c r="R17" s="12">
        <v>2.82</v>
      </c>
      <c r="S17" s="12">
        <v>7461.4299999999994</v>
      </c>
      <c r="T17" s="12">
        <v>57</v>
      </c>
      <c r="U17" s="12">
        <v>21.83</v>
      </c>
      <c r="V17" s="12">
        <v>3979.0000000000009</v>
      </c>
      <c r="W17" s="12">
        <v>683</v>
      </c>
      <c r="X17" s="17">
        <v>3.83</v>
      </c>
      <c r="Y17" s="12">
        <v>1414.65</v>
      </c>
      <c r="Z17" s="12">
        <v>160</v>
      </c>
      <c r="AA17" s="12">
        <v>0.52</v>
      </c>
      <c r="AB17" s="12">
        <v>6926.49</v>
      </c>
      <c r="AC17" s="12">
        <v>8</v>
      </c>
      <c r="AD17" s="12">
        <v>5.34</v>
      </c>
      <c r="AE17" s="12">
        <v>603.39999999999986</v>
      </c>
      <c r="AF17" s="12">
        <v>141</v>
      </c>
      <c r="AG17" s="32">
        <v>0.69097987114799408</v>
      </c>
      <c r="AH17" s="32">
        <v>1.5769439912996196E-2</v>
      </c>
      <c r="AI17" s="32">
        <v>0.92830596815891864</v>
      </c>
      <c r="AJ17" s="32">
        <v>0.28571428571428575</v>
      </c>
      <c r="AK17" s="32">
        <v>0.1516461422467956</v>
      </c>
      <c r="AL17" s="32">
        <v>0.25860373647984264</v>
      </c>
      <c r="AM17" s="17">
        <v>2611</v>
      </c>
      <c r="AN17" s="17">
        <v>951</v>
      </c>
      <c r="AO17" s="17">
        <v>683</v>
      </c>
      <c r="AP17" s="17">
        <v>57</v>
      </c>
      <c r="AQ17" s="17">
        <v>262</v>
      </c>
      <c r="AR17" s="17">
        <v>160</v>
      </c>
      <c r="AS17" s="17">
        <v>141</v>
      </c>
      <c r="AT17" s="17">
        <v>8</v>
      </c>
      <c r="AU17" s="13">
        <v>4165</v>
      </c>
      <c r="AV17" s="13">
        <v>2426</v>
      </c>
      <c r="AW17" s="13">
        <v>1963</v>
      </c>
      <c r="AX17" s="13">
        <v>3121</v>
      </c>
      <c r="AY17" s="13">
        <v>3101</v>
      </c>
      <c r="AZ17" s="13">
        <v>2020</v>
      </c>
    </row>
    <row r="18" spans="1:52" s="13" customFormat="1" x14ac:dyDescent="0.3">
      <c r="A18" s="17">
        <v>16</v>
      </c>
      <c r="B18" s="12">
        <v>2</v>
      </c>
      <c r="C18" s="12" t="s">
        <v>62</v>
      </c>
      <c r="D18" s="15">
        <v>2</v>
      </c>
      <c r="E18" s="12">
        <v>0</v>
      </c>
      <c r="F18" s="12">
        <v>1</v>
      </c>
      <c r="G18" s="12">
        <v>0</v>
      </c>
      <c r="H18" s="12">
        <v>1</v>
      </c>
      <c r="I18" s="12">
        <v>0</v>
      </c>
      <c r="J18" s="12">
        <v>0</v>
      </c>
      <c r="K18" s="17">
        <v>152</v>
      </c>
      <c r="L18" s="17">
        <v>1</v>
      </c>
      <c r="M18" s="17"/>
      <c r="N18" s="130">
        <v>45484</v>
      </c>
      <c r="O18" s="12">
        <v>15.54</v>
      </c>
      <c r="P18" s="12">
        <v>176.15000000000055</v>
      </c>
      <c r="Q18" s="12">
        <v>838</v>
      </c>
      <c r="R18" s="12">
        <v>2.58</v>
      </c>
      <c r="S18" s="12">
        <v>7523.2000000000007</v>
      </c>
      <c r="T18" s="12">
        <v>53</v>
      </c>
      <c r="U18" s="12">
        <v>17.05</v>
      </c>
      <c r="V18" s="12">
        <v>1003.3100000000004</v>
      </c>
      <c r="W18" s="12">
        <v>566</v>
      </c>
      <c r="X18" s="17">
        <v>2.1</v>
      </c>
      <c r="Y18" s="12">
        <v>845.95000000000027</v>
      </c>
      <c r="Z18" s="12">
        <v>87</v>
      </c>
      <c r="AA18" s="12">
        <v>0.12</v>
      </c>
      <c r="AB18" s="12">
        <v>11390.59</v>
      </c>
      <c r="AC18" s="12">
        <v>2</v>
      </c>
      <c r="AD18" s="12">
        <v>3.4</v>
      </c>
      <c r="AE18" s="12">
        <v>457.97999999999979</v>
      </c>
      <c r="AF18" s="12">
        <v>83</v>
      </c>
      <c r="AG18" s="32">
        <v>4.8024411013340771</v>
      </c>
      <c r="AH18" s="32">
        <v>1.2234385061171926E-2</v>
      </c>
      <c r="AI18" s="32">
        <v>1.5140618353891959</v>
      </c>
      <c r="AJ18" s="32">
        <v>1.0869565217391299E-2</v>
      </c>
      <c r="AK18" s="32">
        <v>0.45646908732096719</v>
      </c>
      <c r="AL18" s="32">
        <v>0.20355610055180867</v>
      </c>
      <c r="AM18" s="17">
        <v>1485</v>
      </c>
      <c r="AN18" s="17">
        <v>838</v>
      </c>
      <c r="AO18" s="17">
        <v>566</v>
      </c>
      <c r="AP18" s="17">
        <v>53</v>
      </c>
      <c r="AQ18" s="17">
        <v>176</v>
      </c>
      <c r="AR18" s="17">
        <v>87</v>
      </c>
      <c r="AS18" s="17">
        <v>83</v>
      </c>
      <c r="AT18" s="17">
        <v>2</v>
      </c>
      <c r="AU18" s="13">
        <v>4506</v>
      </c>
      <c r="AV18" s="13">
        <v>2729</v>
      </c>
      <c r="AW18" s="13">
        <v>1999</v>
      </c>
      <c r="AX18" s="13">
        <v>3338</v>
      </c>
      <c r="AY18" s="13">
        <v>3284</v>
      </c>
      <c r="AZ18" s="13">
        <v>2051</v>
      </c>
    </row>
    <row r="19" spans="1:52" s="13" customFormat="1" x14ac:dyDescent="0.3">
      <c r="A19" s="17">
        <v>17</v>
      </c>
      <c r="B19" s="12">
        <v>4</v>
      </c>
      <c r="C19" s="12" t="s">
        <v>63</v>
      </c>
      <c r="D19" s="15">
        <v>2</v>
      </c>
      <c r="E19" s="12">
        <v>1</v>
      </c>
      <c r="F19" s="12">
        <v>4</v>
      </c>
      <c r="G19" s="12">
        <v>0</v>
      </c>
      <c r="H19" s="12">
        <v>1</v>
      </c>
      <c r="I19" s="17">
        <v>0</v>
      </c>
      <c r="J19" s="12">
        <v>0</v>
      </c>
      <c r="K19" s="12">
        <v>6353</v>
      </c>
      <c r="L19" s="17">
        <v>1</v>
      </c>
      <c r="M19" s="17"/>
      <c r="N19" s="130">
        <v>45484</v>
      </c>
      <c r="O19" s="12">
        <v>20.56</v>
      </c>
      <c r="P19" s="12">
        <v>-794.23999999999978</v>
      </c>
      <c r="Q19" s="12">
        <v>1075</v>
      </c>
      <c r="R19" s="12">
        <v>2.5099999999999998</v>
      </c>
      <c r="S19" s="12">
        <v>7344.880000000001</v>
      </c>
      <c r="T19" s="12">
        <v>46</v>
      </c>
      <c r="U19" s="12">
        <v>21.14</v>
      </c>
      <c r="V19" s="12">
        <v>26.569999999999709</v>
      </c>
      <c r="W19" s="12">
        <v>715</v>
      </c>
      <c r="X19" s="17">
        <v>2.85</v>
      </c>
      <c r="Y19" s="12">
        <v>86.1400000000001</v>
      </c>
      <c r="Z19" s="12">
        <v>110</v>
      </c>
      <c r="AA19" s="12">
        <v>0</v>
      </c>
      <c r="AB19" s="12">
        <v>-2031.02</v>
      </c>
      <c r="AC19" s="12">
        <v>0</v>
      </c>
      <c r="AD19" s="12">
        <v>4.55</v>
      </c>
      <c r="AE19" s="12">
        <v>-267.40000000000009</v>
      </c>
      <c r="AF19" s="12">
        <v>109</v>
      </c>
      <c r="AG19" s="32">
        <v>-0.10845588235294133</v>
      </c>
      <c r="AH19" s="32">
        <v>1.2652068126520684E-2</v>
      </c>
      <c r="AI19" s="32">
        <v>-0.27652187646360454</v>
      </c>
      <c r="AJ19" s="32">
        <v>-9.1836734693877556E-2</v>
      </c>
      <c r="AK19" s="32">
        <v>-10.063981934512721</v>
      </c>
      <c r="AL19" s="32">
        <v>0.21709567751335598</v>
      </c>
      <c r="AM19" s="17">
        <v>1532</v>
      </c>
      <c r="AN19" s="17">
        <v>1075</v>
      </c>
      <c r="AO19" s="17">
        <v>715</v>
      </c>
      <c r="AP19" s="17">
        <v>46</v>
      </c>
      <c r="AQ19" s="17">
        <v>238</v>
      </c>
      <c r="AR19" s="17">
        <v>110</v>
      </c>
      <c r="AS19" s="17">
        <v>109</v>
      </c>
      <c r="AT19" s="17">
        <v>0</v>
      </c>
      <c r="AU19" s="13">
        <v>4107</v>
      </c>
      <c r="AV19" s="13">
        <v>2621</v>
      </c>
      <c r="AW19" s="13">
        <v>1783</v>
      </c>
      <c r="AX19" s="13">
        <v>3424</v>
      </c>
      <c r="AY19" s="13">
        <v>3359</v>
      </c>
      <c r="AZ19" s="13">
        <v>1829</v>
      </c>
    </row>
    <row r="20" spans="1:52" s="13" customFormat="1" x14ac:dyDescent="0.3">
      <c r="A20" s="17">
        <v>18</v>
      </c>
      <c r="B20" s="12">
        <v>2</v>
      </c>
      <c r="C20" s="12" t="s">
        <v>62</v>
      </c>
      <c r="D20" s="15">
        <v>2</v>
      </c>
      <c r="E20" s="12">
        <v>1</v>
      </c>
      <c r="F20" s="12">
        <v>1</v>
      </c>
      <c r="G20" s="12">
        <v>0</v>
      </c>
      <c r="H20" s="12">
        <v>0</v>
      </c>
      <c r="I20" s="12">
        <v>0</v>
      </c>
      <c r="J20" s="12">
        <v>0</v>
      </c>
      <c r="K20" s="17">
        <v>0</v>
      </c>
      <c r="L20" s="17">
        <v>0</v>
      </c>
      <c r="M20" s="17"/>
      <c r="N20" s="130">
        <v>45484</v>
      </c>
      <c r="O20" s="12">
        <v>8.9</v>
      </c>
      <c r="P20" s="12">
        <v>3630.45</v>
      </c>
      <c r="Q20" s="12">
        <v>422</v>
      </c>
      <c r="R20" s="12">
        <v>1.26</v>
      </c>
      <c r="S20" s="12">
        <v>6057.0599999999995</v>
      </c>
      <c r="T20" s="12">
        <v>25</v>
      </c>
      <c r="U20" s="12">
        <v>11.22</v>
      </c>
      <c r="V20" s="12">
        <v>5161</v>
      </c>
      <c r="W20" s="12">
        <v>307</v>
      </c>
      <c r="X20" s="17">
        <v>2.1800000000000002</v>
      </c>
      <c r="Y20" s="12">
        <v>635.18000000000029</v>
      </c>
      <c r="Z20" s="12">
        <v>90</v>
      </c>
      <c r="AA20" s="12">
        <v>0</v>
      </c>
      <c r="AB20" s="12">
        <v>-1800.41</v>
      </c>
      <c r="AC20" s="12">
        <v>0</v>
      </c>
      <c r="AD20" s="12">
        <v>3.42</v>
      </c>
      <c r="AE20" s="12">
        <v>610.91999999999985</v>
      </c>
      <c r="AF20" s="12">
        <v>87</v>
      </c>
      <c r="AG20" s="32">
        <v>0.1749590271178505</v>
      </c>
      <c r="AH20" s="32">
        <v>2.2497187851518559E-2</v>
      </c>
      <c r="AI20" s="32">
        <v>-0.29724156604029023</v>
      </c>
      <c r="AJ20" s="32">
        <v>-0.17741935483870969</v>
      </c>
      <c r="AK20" s="32">
        <v>0.11837240844797517</v>
      </c>
      <c r="AL20" s="32">
        <v>0.31568998109640828</v>
      </c>
      <c r="AM20" s="17">
        <v>1031</v>
      </c>
      <c r="AN20" s="17">
        <v>422</v>
      </c>
      <c r="AO20" s="17">
        <v>307</v>
      </c>
      <c r="AP20" s="17">
        <v>25</v>
      </c>
      <c r="AQ20" s="17">
        <v>182</v>
      </c>
      <c r="AR20" s="17">
        <v>90</v>
      </c>
      <c r="AS20" s="17">
        <v>87</v>
      </c>
      <c r="AT20" s="17">
        <v>0</v>
      </c>
      <c r="AU20" s="13">
        <v>4289</v>
      </c>
      <c r="AV20" s="13">
        <v>2422</v>
      </c>
      <c r="AW20" s="13">
        <v>1958</v>
      </c>
      <c r="AX20" s="13">
        <v>2769</v>
      </c>
      <c r="AY20" s="13">
        <v>2724</v>
      </c>
      <c r="AZ20" s="13">
        <v>1983</v>
      </c>
    </row>
    <row r="21" spans="1:52" s="13" customFormat="1" x14ac:dyDescent="0.3">
      <c r="A21" s="17">
        <v>19</v>
      </c>
      <c r="B21" s="12">
        <v>2</v>
      </c>
      <c r="C21" s="12" t="s">
        <v>62</v>
      </c>
      <c r="D21" s="15">
        <v>1</v>
      </c>
      <c r="E21" s="12">
        <v>1</v>
      </c>
      <c r="F21" s="12">
        <v>1</v>
      </c>
      <c r="G21" s="12">
        <v>0</v>
      </c>
      <c r="H21" s="12">
        <v>0</v>
      </c>
      <c r="I21" s="12">
        <v>0</v>
      </c>
      <c r="J21" s="12">
        <v>0</v>
      </c>
      <c r="K21" s="17">
        <v>0</v>
      </c>
      <c r="L21" s="17">
        <v>0</v>
      </c>
      <c r="M21" s="17"/>
      <c r="N21" s="130">
        <v>45484</v>
      </c>
      <c r="O21" s="12">
        <v>6.76</v>
      </c>
      <c r="P21" s="12">
        <v>1318.5200000000004</v>
      </c>
      <c r="Q21" s="12">
        <v>350</v>
      </c>
      <c r="R21" s="12">
        <v>1.02</v>
      </c>
      <c r="S21" s="12">
        <v>7337.83</v>
      </c>
      <c r="T21" s="12">
        <v>20</v>
      </c>
      <c r="U21" s="12">
        <v>7.51</v>
      </c>
      <c r="V21" s="12">
        <v>1862</v>
      </c>
      <c r="W21" s="12">
        <v>240</v>
      </c>
      <c r="X21" s="17">
        <v>1.4</v>
      </c>
      <c r="Y21" s="12">
        <v>470.5</v>
      </c>
      <c r="Z21" s="12">
        <v>55</v>
      </c>
      <c r="AA21" s="12">
        <v>0</v>
      </c>
      <c r="AB21" s="12">
        <v>-1867.73</v>
      </c>
      <c r="AC21" s="12">
        <v>0</v>
      </c>
      <c r="AD21" s="12">
        <v>2.19</v>
      </c>
      <c r="AE21" s="12">
        <v>282.13999999999987</v>
      </c>
      <c r="AF21" s="12">
        <v>55</v>
      </c>
      <c r="AG21" s="32">
        <v>0.35683948669720583</v>
      </c>
      <c r="AH21" s="32">
        <v>2.5185185185185185E-2</v>
      </c>
      <c r="AI21" s="32">
        <v>-0.25453437869233819</v>
      </c>
      <c r="AJ21" s="32">
        <v>-0.17543859649122806</v>
      </c>
      <c r="AK21" s="32">
        <v>0.15152524167561754</v>
      </c>
      <c r="AL21" s="32">
        <v>0.29886685552407932</v>
      </c>
      <c r="AM21" s="17">
        <v>804</v>
      </c>
      <c r="AN21" s="17">
        <v>350</v>
      </c>
      <c r="AO21" s="17">
        <v>240</v>
      </c>
      <c r="AP21" s="17">
        <v>20</v>
      </c>
      <c r="AQ21" s="17">
        <v>152</v>
      </c>
      <c r="AR21" s="17">
        <v>55</v>
      </c>
      <c r="AS21" s="17">
        <v>55</v>
      </c>
      <c r="AT21" s="17">
        <v>0</v>
      </c>
      <c r="AU21" s="13">
        <v>4800</v>
      </c>
      <c r="AV21" s="13">
        <v>2952</v>
      </c>
      <c r="AW21" s="13">
        <v>1942</v>
      </c>
      <c r="AX21" s="13">
        <v>3245</v>
      </c>
      <c r="AY21" s="13">
        <v>3175</v>
      </c>
      <c r="AZ21" s="13">
        <v>1961</v>
      </c>
    </row>
    <row r="22" spans="1:52" s="13" customFormat="1" x14ac:dyDescent="0.3">
      <c r="A22" s="17">
        <v>20</v>
      </c>
      <c r="B22" s="12">
        <v>4</v>
      </c>
      <c r="C22" s="12" t="s">
        <v>63</v>
      </c>
      <c r="D22" s="15">
        <v>1</v>
      </c>
      <c r="E22" s="12">
        <v>0</v>
      </c>
      <c r="F22" s="12">
        <v>2</v>
      </c>
      <c r="G22" s="12">
        <v>0</v>
      </c>
      <c r="H22" s="12">
        <v>1</v>
      </c>
      <c r="I22" s="12">
        <v>0</v>
      </c>
      <c r="J22" s="12">
        <v>0</v>
      </c>
      <c r="K22" s="17">
        <v>1235</v>
      </c>
      <c r="L22" s="17">
        <v>1</v>
      </c>
      <c r="M22" s="17"/>
      <c r="N22" s="130">
        <v>45484</v>
      </c>
      <c r="O22" s="12">
        <v>10.46</v>
      </c>
      <c r="P22" s="12">
        <v>-893.69999999999982</v>
      </c>
      <c r="Q22" s="12">
        <v>536</v>
      </c>
      <c r="R22" s="12">
        <v>1.37</v>
      </c>
      <c r="S22" s="12">
        <v>7193.08</v>
      </c>
      <c r="T22" s="12">
        <v>28</v>
      </c>
      <c r="U22" s="12">
        <v>11.27</v>
      </c>
      <c r="V22" s="12">
        <v>-425.32999999999993</v>
      </c>
      <c r="W22" s="12">
        <v>346</v>
      </c>
      <c r="X22" s="17"/>
      <c r="Y22" s="12"/>
      <c r="Z22" s="12"/>
      <c r="AA22" s="12"/>
      <c r="AB22" s="12"/>
      <c r="AC22" s="12"/>
      <c r="AD22" s="12"/>
      <c r="AE22" s="12"/>
      <c r="AF22" s="12"/>
      <c r="AG22" s="32">
        <v>0</v>
      </c>
      <c r="AH22" s="32">
        <v>0</v>
      </c>
      <c r="AI22" s="32">
        <v>0</v>
      </c>
      <c r="AJ22" s="32">
        <v>0</v>
      </c>
      <c r="AK22" s="32">
        <v>0</v>
      </c>
      <c r="AL22" s="32">
        <v>0</v>
      </c>
      <c r="AM22" s="17">
        <v>956</v>
      </c>
      <c r="AN22" s="17">
        <v>536</v>
      </c>
      <c r="AO22" s="17">
        <v>346</v>
      </c>
      <c r="AP22" s="17">
        <v>28</v>
      </c>
      <c r="AQ22" s="17"/>
      <c r="AR22" s="17"/>
      <c r="AS22" s="17"/>
      <c r="AT22" s="17"/>
      <c r="AU22" s="13">
        <v>4550</v>
      </c>
      <c r="AV22" s="13">
        <v>2706</v>
      </c>
      <c r="AW22" s="13">
        <v>2009</v>
      </c>
    </row>
    <row r="23" spans="1:52" s="13" customFormat="1" x14ac:dyDescent="0.3">
      <c r="A23" s="17">
        <v>21</v>
      </c>
      <c r="B23" s="12">
        <v>4</v>
      </c>
      <c r="C23" s="12" t="s">
        <v>63</v>
      </c>
      <c r="D23" s="15">
        <v>1</v>
      </c>
      <c r="E23" s="12">
        <v>0</v>
      </c>
      <c r="F23" s="12">
        <v>1</v>
      </c>
      <c r="G23" s="12">
        <v>0</v>
      </c>
      <c r="H23" s="12">
        <v>0</v>
      </c>
      <c r="I23" s="12">
        <v>0</v>
      </c>
      <c r="J23" s="12">
        <v>0</v>
      </c>
      <c r="K23" s="17">
        <v>0</v>
      </c>
      <c r="L23" s="17">
        <v>0</v>
      </c>
      <c r="M23" s="17"/>
      <c r="N23" s="130">
        <v>45484</v>
      </c>
      <c r="O23" s="12">
        <v>24.97</v>
      </c>
      <c r="P23" s="12">
        <v>5389.9000000000005</v>
      </c>
      <c r="Q23" s="12">
        <v>1305</v>
      </c>
      <c r="R23" s="12">
        <v>3.86</v>
      </c>
      <c r="S23" s="12">
        <v>8616.1</v>
      </c>
      <c r="T23" s="12">
        <v>75</v>
      </c>
      <c r="U23" s="12">
        <v>30.5</v>
      </c>
      <c r="V23" s="12">
        <v>7741.02</v>
      </c>
      <c r="W23" s="12">
        <v>995</v>
      </c>
      <c r="X23" s="17">
        <v>1.72</v>
      </c>
      <c r="Y23" s="12">
        <v>80.960000000000036</v>
      </c>
      <c r="Z23" s="12">
        <v>67</v>
      </c>
      <c r="AA23" s="12">
        <v>0</v>
      </c>
      <c r="AB23" s="12">
        <v>-1782.77</v>
      </c>
      <c r="AC23" s="12">
        <v>0</v>
      </c>
      <c r="AD23" s="12">
        <v>2.69</v>
      </c>
      <c r="AE23" s="12">
        <v>-43.900000000000091</v>
      </c>
      <c r="AF23" s="12">
        <v>66</v>
      </c>
      <c r="AG23" s="32">
        <v>1.5020686840201122E-2</v>
      </c>
      <c r="AH23" s="32">
        <v>6.0096153846153849E-3</v>
      </c>
      <c r="AI23" s="32">
        <v>-0.20691147967177725</v>
      </c>
      <c r="AJ23" s="32">
        <v>-4.9382716049382727E-2</v>
      </c>
      <c r="AK23" s="32">
        <v>-5.6710872727366796E-3</v>
      </c>
      <c r="AL23" s="32">
        <v>9.2356687898089179E-2</v>
      </c>
      <c r="AM23" s="17">
        <v>3621</v>
      </c>
      <c r="AN23" s="17">
        <v>1305</v>
      </c>
      <c r="AO23" s="17">
        <v>995</v>
      </c>
      <c r="AP23" s="17">
        <v>75</v>
      </c>
      <c r="AQ23" s="17">
        <v>133</v>
      </c>
      <c r="AR23" s="17">
        <v>67</v>
      </c>
      <c r="AS23" s="17">
        <v>66</v>
      </c>
      <c r="AT23" s="17">
        <v>0</v>
      </c>
      <c r="AU23" s="13">
        <v>3865</v>
      </c>
      <c r="AV23" s="13">
        <v>2238</v>
      </c>
      <c r="AW23" s="13">
        <v>1869</v>
      </c>
      <c r="AX23" s="13">
        <v>3230</v>
      </c>
      <c r="AY23" s="13">
        <v>3244</v>
      </c>
      <c r="AZ23" s="13">
        <v>1945</v>
      </c>
    </row>
    <row r="24" spans="1:52" s="13" customFormat="1" x14ac:dyDescent="0.3">
      <c r="A24" s="17">
        <v>22</v>
      </c>
      <c r="B24" s="12">
        <v>3</v>
      </c>
      <c r="C24" s="12" t="s">
        <v>64</v>
      </c>
      <c r="D24" s="15">
        <v>1</v>
      </c>
      <c r="E24" s="12">
        <v>0</v>
      </c>
      <c r="F24" s="12">
        <v>1</v>
      </c>
      <c r="G24" s="12">
        <v>0</v>
      </c>
      <c r="H24" s="12">
        <v>1</v>
      </c>
      <c r="I24" s="12">
        <v>0</v>
      </c>
      <c r="J24" s="12">
        <v>0</v>
      </c>
      <c r="K24" s="17">
        <v>3832</v>
      </c>
      <c r="L24" s="17">
        <v>1</v>
      </c>
      <c r="M24" s="17"/>
      <c r="N24" s="130">
        <v>45484</v>
      </c>
      <c r="O24" s="12">
        <v>21.51</v>
      </c>
      <c r="P24" s="12">
        <v>4380.4800000000005</v>
      </c>
      <c r="Q24" s="12">
        <v>1108</v>
      </c>
      <c r="R24" s="12">
        <v>3.14</v>
      </c>
      <c r="S24" s="12">
        <v>7390.43</v>
      </c>
      <c r="T24" s="12">
        <v>62</v>
      </c>
      <c r="U24" s="12">
        <v>28.04</v>
      </c>
      <c r="V24" s="12">
        <v>6110.4400000000005</v>
      </c>
      <c r="W24" s="12">
        <v>887</v>
      </c>
      <c r="X24" s="17">
        <v>2.42</v>
      </c>
      <c r="Y24" s="12">
        <v>-220.93999999999983</v>
      </c>
      <c r="Z24" s="12">
        <v>99</v>
      </c>
      <c r="AA24" s="12">
        <v>0</v>
      </c>
      <c r="AB24" s="12">
        <v>-1802.93</v>
      </c>
      <c r="AC24" s="12">
        <v>0</v>
      </c>
      <c r="AD24" s="12">
        <v>3.89</v>
      </c>
      <c r="AE24" s="12">
        <v>-360.42000000000007</v>
      </c>
      <c r="AF24" s="12">
        <v>97</v>
      </c>
      <c r="AG24" s="32">
        <v>-5.0437394988676998E-2</v>
      </c>
      <c r="AH24" s="32">
        <v>7.4418604651162795E-3</v>
      </c>
      <c r="AI24" s="32">
        <v>-0.24395468193325692</v>
      </c>
      <c r="AJ24" s="32">
        <v>-6.08108108108108E-2</v>
      </c>
      <c r="AK24" s="32">
        <v>-5.8984295729931073E-2</v>
      </c>
      <c r="AL24" s="32">
        <v>0.14442759666413951</v>
      </c>
      <c r="AM24" s="17">
        <v>2840</v>
      </c>
      <c r="AN24" s="17">
        <v>1108</v>
      </c>
      <c r="AO24" s="17">
        <v>887</v>
      </c>
      <c r="AP24" s="17">
        <v>62</v>
      </c>
      <c r="AQ24" s="17">
        <v>148</v>
      </c>
      <c r="AR24" s="17">
        <v>99</v>
      </c>
      <c r="AS24" s="17">
        <v>97</v>
      </c>
      <c r="AT24" s="17">
        <v>0</v>
      </c>
      <c r="AU24" s="13">
        <v>4008</v>
      </c>
      <c r="AV24" s="13">
        <v>2266</v>
      </c>
      <c r="AW24" s="13">
        <v>1910</v>
      </c>
      <c r="AX24" s="13">
        <v>3162</v>
      </c>
      <c r="AY24" s="13">
        <v>3144</v>
      </c>
      <c r="AZ24" s="13">
        <v>1975</v>
      </c>
    </row>
    <row r="25" spans="1:52" s="13" customFormat="1" x14ac:dyDescent="0.3">
      <c r="A25" s="17">
        <v>23</v>
      </c>
      <c r="B25" s="12">
        <v>3</v>
      </c>
      <c r="C25" s="12" t="s">
        <v>64</v>
      </c>
      <c r="D25" s="15">
        <v>1</v>
      </c>
      <c r="E25" s="12">
        <v>0</v>
      </c>
      <c r="F25" s="12">
        <v>1</v>
      </c>
      <c r="G25" s="12">
        <v>0</v>
      </c>
      <c r="H25" s="12">
        <v>0</v>
      </c>
      <c r="I25" s="12">
        <v>0</v>
      </c>
      <c r="J25" s="12">
        <v>0</v>
      </c>
      <c r="K25" s="17">
        <v>0</v>
      </c>
      <c r="L25" s="17">
        <v>0</v>
      </c>
      <c r="M25" s="17"/>
      <c r="N25" s="130">
        <v>45484</v>
      </c>
      <c r="O25" s="12">
        <v>19.77</v>
      </c>
      <c r="P25" s="12">
        <v>1822.7300000000005</v>
      </c>
      <c r="Q25" s="12">
        <v>1037</v>
      </c>
      <c r="R25" s="12">
        <v>2.76</v>
      </c>
      <c r="S25" s="12">
        <v>7817.01</v>
      </c>
      <c r="T25" s="12">
        <v>55</v>
      </c>
      <c r="U25" s="12">
        <v>23.41</v>
      </c>
      <c r="V25" s="12">
        <v>3320.8199999999997</v>
      </c>
      <c r="W25" s="12">
        <v>757</v>
      </c>
      <c r="X25" s="17">
        <v>1.76</v>
      </c>
      <c r="Y25" s="12">
        <v>-104.86999999999989</v>
      </c>
      <c r="Z25" s="12">
        <v>72</v>
      </c>
      <c r="AA25" s="12">
        <v>7.0000000000000007E-2</v>
      </c>
      <c r="AB25" s="12">
        <v>5125.1000000000004</v>
      </c>
      <c r="AC25" s="12">
        <v>1</v>
      </c>
      <c r="AD25" s="12">
        <v>2.63</v>
      </c>
      <c r="AE25" s="12">
        <v>-267.71000000000004</v>
      </c>
      <c r="AF25" s="12">
        <v>69</v>
      </c>
      <c r="AG25" s="32">
        <v>-5.7534577254996548E-2</v>
      </c>
      <c r="AH25" s="32">
        <v>6.0728744939271256E-3</v>
      </c>
      <c r="AI25" s="32">
        <v>0.65563431542239303</v>
      </c>
      <c r="AJ25" s="32">
        <v>0</v>
      </c>
      <c r="AK25" s="32">
        <v>-8.0615631079070854E-2</v>
      </c>
      <c r="AL25" s="32">
        <v>0.11450381679389313</v>
      </c>
      <c r="AM25" s="17">
        <v>2213</v>
      </c>
      <c r="AN25" s="17">
        <v>1037</v>
      </c>
      <c r="AO25" s="17">
        <v>757</v>
      </c>
      <c r="AP25" s="17">
        <v>55</v>
      </c>
      <c r="AQ25" s="17">
        <v>108</v>
      </c>
      <c r="AR25" s="17">
        <v>72</v>
      </c>
      <c r="AS25" s="17">
        <v>69</v>
      </c>
      <c r="AT25" s="17">
        <v>1</v>
      </c>
      <c r="AU25" s="13">
        <v>4167</v>
      </c>
      <c r="AV25" s="13">
        <v>2448</v>
      </c>
      <c r="AW25" s="13">
        <v>1936</v>
      </c>
      <c r="AX25" s="13">
        <v>3261</v>
      </c>
      <c r="AY25" s="13">
        <v>3211</v>
      </c>
      <c r="AZ25" s="13">
        <v>1991</v>
      </c>
    </row>
    <row r="26" spans="1:52" s="13" customFormat="1" x14ac:dyDescent="0.3">
      <c r="A26" s="17">
        <v>24</v>
      </c>
      <c r="B26" s="12">
        <v>0</v>
      </c>
      <c r="C26" s="12" t="s">
        <v>60</v>
      </c>
      <c r="D26" s="15">
        <v>2</v>
      </c>
      <c r="E26" s="12">
        <v>0</v>
      </c>
      <c r="F26" s="12">
        <v>2</v>
      </c>
      <c r="G26" s="12">
        <v>0</v>
      </c>
      <c r="H26" s="12">
        <v>1</v>
      </c>
      <c r="I26" s="12">
        <v>56</v>
      </c>
      <c r="J26" s="12">
        <v>1</v>
      </c>
      <c r="K26" s="17">
        <v>1120</v>
      </c>
      <c r="L26" s="17">
        <v>1</v>
      </c>
      <c r="M26" s="17"/>
      <c r="N26" s="130">
        <v>45484</v>
      </c>
      <c r="O26" s="12">
        <v>10.37</v>
      </c>
      <c r="P26" s="12">
        <v>-999.22999999999956</v>
      </c>
      <c r="Q26" s="12">
        <v>533</v>
      </c>
      <c r="R26" s="12">
        <v>1.31</v>
      </c>
      <c r="S26" s="12">
        <v>7737.1699999999992</v>
      </c>
      <c r="T26" s="12">
        <v>26</v>
      </c>
      <c r="U26" s="12">
        <v>9.94</v>
      </c>
      <c r="V26" s="12">
        <v>706.52999999999975</v>
      </c>
      <c r="W26" s="12">
        <v>312</v>
      </c>
      <c r="X26" s="17">
        <v>1.58</v>
      </c>
      <c r="Y26" s="12">
        <v>295.56000000000017</v>
      </c>
      <c r="Z26" s="12">
        <v>67</v>
      </c>
      <c r="AA26" s="12">
        <v>0.12</v>
      </c>
      <c r="AB26" s="12">
        <v>8546.23</v>
      </c>
      <c r="AC26" s="12">
        <v>2</v>
      </c>
      <c r="AD26" s="12">
        <v>2.4500000000000002</v>
      </c>
      <c r="AE26" s="12">
        <v>70.440000000000055</v>
      </c>
      <c r="AF26" s="12">
        <v>64</v>
      </c>
      <c r="AG26" s="32">
        <v>-0.29578775657256118</v>
      </c>
      <c r="AH26" s="32">
        <v>1.2548262548262549E-2</v>
      </c>
      <c r="AI26" s="32">
        <v>1.1045679492631026</v>
      </c>
      <c r="AJ26" s="32">
        <v>5.154639175257731E-2</v>
      </c>
      <c r="AK26" s="32">
        <v>9.9698526601842918E-2</v>
      </c>
      <c r="AL26" s="32">
        <v>0.24687500000000001</v>
      </c>
      <c r="AM26" s="17">
        <v>821</v>
      </c>
      <c r="AN26" s="17">
        <v>533</v>
      </c>
      <c r="AO26" s="17">
        <v>312</v>
      </c>
      <c r="AP26" s="17">
        <v>26</v>
      </c>
      <c r="AQ26" s="17">
        <v>115</v>
      </c>
      <c r="AR26" s="17">
        <v>67</v>
      </c>
      <c r="AS26" s="17">
        <v>64</v>
      </c>
      <c r="AT26" s="17">
        <v>2</v>
      </c>
      <c r="AU26" s="13">
        <v>4561</v>
      </c>
      <c r="AV26" s="13">
        <v>2811</v>
      </c>
      <c r="AW26" s="13">
        <v>1950</v>
      </c>
      <c r="AX26" s="13">
        <v>3169</v>
      </c>
      <c r="AY26" s="13">
        <v>3102</v>
      </c>
      <c r="AZ26" s="13">
        <v>1976</v>
      </c>
    </row>
    <row r="27" spans="1:52" s="13" customFormat="1" x14ac:dyDescent="0.3">
      <c r="A27" s="17">
        <v>25</v>
      </c>
      <c r="B27" s="12">
        <v>0</v>
      </c>
      <c r="C27" s="12" t="s">
        <v>60</v>
      </c>
      <c r="D27" s="15">
        <v>1</v>
      </c>
      <c r="E27" s="12">
        <v>0</v>
      </c>
      <c r="F27" s="12">
        <v>2</v>
      </c>
      <c r="G27" s="12">
        <v>0</v>
      </c>
      <c r="H27" s="12">
        <v>1</v>
      </c>
      <c r="I27" s="12">
        <v>0</v>
      </c>
      <c r="J27" s="12">
        <v>0</v>
      </c>
      <c r="K27" s="17">
        <v>29594</v>
      </c>
      <c r="L27" s="17">
        <v>1</v>
      </c>
      <c r="M27" s="17"/>
      <c r="N27" s="130">
        <v>45484</v>
      </c>
      <c r="O27" s="12">
        <v>13.69</v>
      </c>
      <c r="P27" s="12">
        <v>-1137.5499999999993</v>
      </c>
      <c r="Q27" s="12">
        <v>696</v>
      </c>
      <c r="R27" s="12">
        <v>0.8</v>
      </c>
      <c r="S27" s="12">
        <v>4402.3599999999997</v>
      </c>
      <c r="T27" s="12">
        <v>17</v>
      </c>
      <c r="U27" s="12">
        <v>15.27</v>
      </c>
      <c r="V27" s="12">
        <v>-795.56999999999971</v>
      </c>
      <c r="W27" s="12">
        <v>448</v>
      </c>
      <c r="X27" s="17">
        <v>1.89</v>
      </c>
      <c r="Y27" s="12">
        <v>-107.50999999999999</v>
      </c>
      <c r="Z27" s="1">
        <v>67</v>
      </c>
      <c r="AA27" s="12">
        <v>0.08</v>
      </c>
      <c r="AB27" s="12">
        <v>4136.4799999999996</v>
      </c>
      <c r="AC27" s="12">
        <v>1</v>
      </c>
      <c r="AD27" s="12">
        <v>2.85</v>
      </c>
      <c r="AE27" s="12">
        <v>-265.74</v>
      </c>
      <c r="AF27" s="12">
        <v>64</v>
      </c>
      <c r="AG27" s="32">
        <v>9.4510131422794658E-2</v>
      </c>
      <c r="AH27" s="32">
        <v>1.0233918128654972E-2</v>
      </c>
      <c r="AI27" s="32">
        <v>0.9396051208897046</v>
      </c>
      <c r="AJ27" s="32">
        <v>0</v>
      </c>
      <c r="AK27" s="32">
        <v>0.33402466156340749</v>
      </c>
      <c r="AL27" s="32">
        <v>0.18466666666666667</v>
      </c>
      <c r="AM27" s="17">
        <v>913</v>
      </c>
      <c r="AN27" s="17">
        <v>696</v>
      </c>
      <c r="AO27" s="17">
        <v>448</v>
      </c>
      <c r="AP27" s="17">
        <v>17</v>
      </c>
      <c r="AQ27" s="17">
        <v>122</v>
      </c>
      <c r="AR27" s="17">
        <v>67</v>
      </c>
      <c r="AS27" s="17">
        <v>64</v>
      </c>
      <c r="AT27" s="17">
        <v>1</v>
      </c>
      <c r="AU27" s="13">
        <v>4345</v>
      </c>
      <c r="AV27" s="13">
        <v>2457</v>
      </c>
      <c r="AW27" s="13">
        <v>2110</v>
      </c>
      <c r="AX27" s="13">
        <v>2972</v>
      </c>
      <c r="AY27" s="13">
        <v>2902</v>
      </c>
      <c r="AZ27" s="13">
        <v>2127</v>
      </c>
    </row>
    <row r="28" spans="1:52" s="13" customFormat="1" x14ac:dyDescent="0.3">
      <c r="A28" s="17">
        <v>26</v>
      </c>
      <c r="B28" s="12">
        <v>0</v>
      </c>
      <c r="C28" s="12" t="s">
        <v>60</v>
      </c>
      <c r="D28" s="15">
        <v>2</v>
      </c>
      <c r="E28" s="12">
        <v>0</v>
      </c>
      <c r="F28" s="12">
        <v>4</v>
      </c>
      <c r="G28" s="12">
        <v>0</v>
      </c>
      <c r="H28" s="12">
        <v>1</v>
      </c>
      <c r="I28" s="12">
        <v>0</v>
      </c>
      <c r="J28" s="12">
        <v>0</v>
      </c>
      <c r="K28" s="17">
        <v>3081</v>
      </c>
      <c r="L28" s="17">
        <v>1</v>
      </c>
      <c r="M28" s="17"/>
      <c r="N28" s="130">
        <v>45484</v>
      </c>
      <c r="O28" s="12">
        <v>22.87</v>
      </c>
      <c r="P28" s="12">
        <v>2542.6400000000003</v>
      </c>
      <c r="Q28" s="12">
        <v>1176</v>
      </c>
      <c r="R28" s="12">
        <v>2.74</v>
      </c>
      <c r="S28" s="12">
        <v>8066.95</v>
      </c>
      <c r="T28" s="12">
        <v>54</v>
      </c>
      <c r="U28" s="12">
        <v>27.77</v>
      </c>
      <c r="V28" s="12">
        <v>4690.2400000000007</v>
      </c>
      <c r="W28" s="12">
        <v>877</v>
      </c>
      <c r="X28" s="17"/>
      <c r="Y28" s="12"/>
      <c r="Z28" s="1"/>
      <c r="AA28" s="12"/>
      <c r="AB28" s="12"/>
      <c r="AC28" s="12"/>
      <c r="AD28" s="12"/>
      <c r="AE28" s="12"/>
      <c r="AF28" s="12"/>
      <c r="AG28" s="32">
        <v>0</v>
      </c>
      <c r="AH28" s="32">
        <v>0</v>
      </c>
      <c r="AI28" s="32">
        <v>0</v>
      </c>
      <c r="AJ28" s="32">
        <v>0</v>
      </c>
      <c r="AK28" s="32">
        <v>0</v>
      </c>
      <c r="AL28" s="32">
        <v>0</v>
      </c>
      <c r="AM28" s="17">
        <v>3206</v>
      </c>
      <c r="AN28" s="17">
        <v>1176</v>
      </c>
      <c r="AO28" s="17">
        <v>877</v>
      </c>
      <c r="AP28" s="17">
        <v>54</v>
      </c>
      <c r="AQ28" s="17"/>
      <c r="AR28" s="17"/>
      <c r="AS28" s="17"/>
      <c r="AT28" s="17"/>
      <c r="AU28" s="13">
        <v>3920</v>
      </c>
      <c r="AV28" s="13">
        <v>2258</v>
      </c>
      <c r="AW28" s="13">
        <v>1912</v>
      </c>
    </row>
    <row r="29" spans="1:52" s="13" customFormat="1" x14ac:dyDescent="0.3">
      <c r="A29" s="17">
        <v>27</v>
      </c>
      <c r="B29" s="12">
        <v>0</v>
      </c>
      <c r="C29" s="12" t="s">
        <v>60</v>
      </c>
      <c r="D29" s="15">
        <v>1</v>
      </c>
      <c r="E29" s="12">
        <v>0</v>
      </c>
      <c r="F29" s="12">
        <v>2</v>
      </c>
      <c r="G29" s="12">
        <v>0</v>
      </c>
      <c r="H29" s="12">
        <v>1</v>
      </c>
      <c r="I29" s="12">
        <v>0</v>
      </c>
      <c r="J29" s="12">
        <v>0</v>
      </c>
      <c r="K29" s="17">
        <v>1915</v>
      </c>
      <c r="L29" s="17">
        <v>0</v>
      </c>
      <c r="M29" s="17"/>
      <c r="N29" s="130">
        <v>45484</v>
      </c>
      <c r="O29" s="12">
        <v>24.38</v>
      </c>
      <c r="P29" s="12">
        <v>8003.69</v>
      </c>
      <c r="Q29" s="12">
        <v>1242</v>
      </c>
      <c r="R29" s="12">
        <v>3.87</v>
      </c>
      <c r="S29" s="12">
        <v>12783.009999999998</v>
      </c>
      <c r="T29" s="12">
        <v>75</v>
      </c>
      <c r="U29" s="12">
        <v>30.93</v>
      </c>
      <c r="V29" s="12">
        <v>11521</v>
      </c>
      <c r="W29" s="12">
        <v>968</v>
      </c>
      <c r="X29" s="17">
        <v>2.89</v>
      </c>
      <c r="Y29" s="12">
        <v>184.06000000000017</v>
      </c>
      <c r="Z29" s="1">
        <v>101</v>
      </c>
      <c r="AA29" s="12">
        <v>0</v>
      </c>
      <c r="AB29" s="12">
        <v>-1955.77</v>
      </c>
      <c r="AC29" s="12">
        <v>0</v>
      </c>
      <c r="AD29" s="12">
        <v>4.3600000000000003</v>
      </c>
      <c r="AE29" s="12">
        <v>-131.81999999999994</v>
      </c>
      <c r="AF29" s="12">
        <v>100</v>
      </c>
      <c r="AG29" s="32">
        <v>2.2996892683249875E-2</v>
      </c>
      <c r="AH29" s="32">
        <v>8.2068116536725497E-3</v>
      </c>
      <c r="AI29" s="32">
        <v>-0.15299761167361992</v>
      </c>
      <c r="AJ29" s="32">
        <v>-7.6433121019108263E-2</v>
      </c>
      <c r="AK29" s="32">
        <v>-1.1441715128895056E-2</v>
      </c>
      <c r="AL29" s="32">
        <v>0.1494935382465945</v>
      </c>
      <c r="AM29" s="17">
        <v>3580</v>
      </c>
      <c r="AN29" s="17">
        <v>1242</v>
      </c>
      <c r="AO29" s="17">
        <v>968</v>
      </c>
      <c r="AP29" s="17">
        <v>75</v>
      </c>
      <c r="AQ29" s="17">
        <v>186</v>
      </c>
      <c r="AR29" s="17">
        <v>101</v>
      </c>
      <c r="AS29" s="17">
        <v>100</v>
      </c>
      <c r="AT29" s="17">
        <v>0</v>
      </c>
      <c r="AU29" s="13">
        <v>3796</v>
      </c>
      <c r="AV29" s="13">
        <v>2147</v>
      </c>
      <c r="AW29" s="13">
        <v>1860</v>
      </c>
      <c r="AX29" s="13">
        <v>3088</v>
      </c>
      <c r="AY29" s="13">
        <v>3108</v>
      </c>
      <c r="AZ29" s="13">
        <v>1937</v>
      </c>
    </row>
    <row r="30" spans="1:52" s="13" customFormat="1" x14ac:dyDescent="0.3">
      <c r="A30" s="17">
        <v>28</v>
      </c>
      <c r="B30" s="12">
        <v>0</v>
      </c>
      <c r="C30" s="12" t="s">
        <v>60</v>
      </c>
      <c r="D30" s="15">
        <v>2</v>
      </c>
      <c r="E30" s="12">
        <v>1</v>
      </c>
      <c r="F30" s="12">
        <v>2</v>
      </c>
      <c r="G30" s="12">
        <v>0</v>
      </c>
      <c r="H30" s="12">
        <v>0</v>
      </c>
      <c r="I30" s="12">
        <v>0</v>
      </c>
      <c r="J30" s="12">
        <v>0</v>
      </c>
      <c r="K30" s="17">
        <v>0</v>
      </c>
      <c r="L30" s="17">
        <v>0</v>
      </c>
      <c r="M30" s="17"/>
      <c r="N30" s="130">
        <v>45484</v>
      </c>
      <c r="O30" s="12">
        <v>16.27</v>
      </c>
      <c r="P30" s="12">
        <v>-483.01999999999953</v>
      </c>
      <c r="Q30" s="12">
        <v>830</v>
      </c>
      <c r="R30" s="12">
        <v>2.2000000000000002</v>
      </c>
      <c r="S30" s="12">
        <v>4438.9099999999989</v>
      </c>
      <c r="T30" s="12">
        <v>43</v>
      </c>
      <c r="U30" s="12">
        <v>18.02</v>
      </c>
      <c r="V30" s="12">
        <v>229.19999999999982</v>
      </c>
      <c r="W30" s="12">
        <v>564</v>
      </c>
      <c r="X30" s="17"/>
      <c r="Y30" s="12"/>
      <c r="Z30" s="1"/>
      <c r="AA30" s="12"/>
      <c r="AB30" s="12"/>
      <c r="AC30" s="12"/>
      <c r="AD30" s="12"/>
      <c r="AE30" s="12"/>
      <c r="AF30" s="12"/>
      <c r="AG30" s="32">
        <v>0</v>
      </c>
      <c r="AH30" s="32">
        <v>0</v>
      </c>
      <c r="AI30" s="32">
        <v>0</v>
      </c>
      <c r="AJ30" s="32">
        <v>0</v>
      </c>
      <c r="AK30" s="32">
        <v>0</v>
      </c>
      <c r="AL30" s="32">
        <v>0</v>
      </c>
      <c r="AM30" s="17">
        <v>1442</v>
      </c>
      <c r="AN30" s="17">
        <v>830</v>
      </c>
      <c r="AO30" s="17">
        <v>564</v>
      </c>
      <c r="AP30" s="17">
        <v>43</v>
      </c>
      <c r="AQ30" s="17"/>
      <c r="AR30" s="17"/>
      <c r="AS30" s="17"/>
      <c r="AT30" s="17"/>
      <c r="AU30" s="13">
        <v>4231</v>
      </c>
      <c r="AV30" s="13">
        <v>2535</v>
      </c>
      <c r="AW30" s="13">
        <v>1908</v>
      </c>
    </row>
    <row r="31" spans="1:52" s="13" customFormat="1" x14ac:dyDescent="0.3">
      <c r="A31" s="17">
        <v>29</v>
      </c>
      <c r="B31" s="12">
        <v>0</v>
      </c>
      <c r="C31" s="12" t="s">
        <v>60</v>
      </c>
      <c r="D31" s="15">
        <v>1</v>
      </c>
      <c r="E31" s="12">
        <v>0</v>
      </c>
      <c r="F31" s="12">
        <v>3</v>
      </c>
      <c r="G31" s="12">
        <v>0</v>
      </c>
      <c r="H31" s="12">
        <v>0</v>
      </c>
      <c r="I31" s="12">
        <v>0</v>
      </c>
      <c r="J31" s="12">
        <v>0</v>
      </c>
      <c r="K31" s="17">
        <v>0</v>
      </c>
      <c r="L31" s="17">
        <v>0</v>
      </c>
      <c r="M31" s="17"/>
      <c r="N31" s="130">
        <v>45484</v>
      </c>
      <c r="O31" s="12">
        <v>15.92</v>
      </c>
      <c r="P31" s="12">
        <v>897.17000000000007</v>
      </c>
      <c r="Q31" s="12">
        <v>866</v>
      </c>
      <c r="R31" s="12">
        <v>2.38</v>
      </c>
      <c r="S31" s="12">
        <v>4833.2</v>
      </c>
      <c r="T31" s="12">
        <v>51</v>
      </c>
      <c r="U31" s="12">
        <v>18.079999999999998</v>
      </c>
      <c r="V31" s="12">
        <v>2214.8599999999997</v>
      </c>
      <c r="W31" s="12">
        <v>592</v>
      </c>
      <c r="X31" s="17"/>
      <c r="Y31" s="12"/>
      <c r="Z31" s="1"/>
      <c r="AA31" s="12"/>
      <c r="AB31" s="12"/>
      <c r="AC31" s="12"/>
      <c r="AD31" s="12"/>
      <c r="AE31" s="12"/>
      <c r="AF31" s="12"/>
      <c r="AG31" s="32">
        <v>0</v>
      </c>
      <c r="AH31" s="32">
        <v>0</v>
      </c>
      <c r="AI31" s="32">
        <v>0</v>
      </c>
      <c r="AJ31" s="32">
        <v>0</v>
      </c>
      <c r="AK31" s="32">
        <v>0</v>
      </c>
      <c r="AL31" s="32">
        <v>0</v>
      </c>
      <c r="AM31" s="17">
        <v>1706</v>
      </c>
      <c r="AN31" s="17">
        <v>866</v>
      </c>
      <c r="AO31" s="17">
        <v>592</v>
      </c>
      <c r="AP31" s="17">
        <v>51</v>
      </c>
      <c r="AQ31" s="17"/>
      <c r="AR31" s="17"/>
      <c r="AS31" s="17"/>
      <c r="AT31" s="17"/>
      <c r="AU31" s="13">
        <v>4527</v>
      </c>
      <c r="AV31" s="13">
        <v>2659</v>
      </c>
      <c r="AW31" s="13">
        <v>2089</v>
      </c>
    </row>
    <row r="32" spans="1:52" s="13" customFormat="1" x14ac:dyDescent="0.3">
      <c r="A32" s="17">
        <v>30</v>
      </c>
      <c r="B32" s="12">
        <v>1</v>
      </c>
      <c r="C32" s="12" t="s">
        <v>61</v>
      </c>
      <c r="D32" s="15">
        <v>2</v>
      </c>
      <c r="E32" s="12">
        <v>0</v>
      </c>
      <c r="F32" s="12">
        <v>2</v>
      </c>
      <c r="G32" s="12">
        <v>0</v>
      </c>
      <c r="H32" s="12">
        <v>1</v>
      </c>
      <c r="I32" s="12">
        <v>0</v>
      </c>
      <c r="J32" s="12">
        <v>0</v>
      </c>
      <c r="K32" s="17">
        <v>2254</v>
      </c>
      <c r="L32" s="17">
        <v>1</v>
      </c>
      <c r="M32" s="17"/>
      <c r="N32" s="130">
        <v>45484</v>
      </c>
      <c r="O32" s="12">
        <v>21.44</v>
      </c>
      <c r="P32" s="12">
        <v>3205.3100000000004</v>
      </c>
      <c r="Q32" s="12">
        <v>1114</v>
      </c>
      <c r="R32" s="12">
        <v>2.4900000000000002</v>
      </c>
      <c r="S32" s="12">
        <v>17114</v>
      </c>
      <c r="T32" s="12">
        <v>51</v>
      </c>
      <c r="U32" s="12">
        <v>27.61</v>
      </c>
      <c r="V32" s="12">
        <v>4528.78</v>
      </c>
      <c r="W32" s="12">
        <v>866</v>
      </c>
      <c r="X32" s="17"/>
      <c r="Y32" s="12"/>
      <c r="Z32" s="1"/>
      <c r="AA32" s="12"/>
      <c r="AB32" s="12"/>
      <c r="AC32" s="12"/>
      <c r="AD32" s="12"/>
      <c r="AE32" s="12"/>
      <c r="AF32" s="12"/>
      <c r="AG32" s="32">
        <v>0</v>
      </c>
      <c r="AH32" s="32">
        <v>0</v>
      </c>
      <c r="AI32" s="32">
        <v>0</v>
      </c>
      <c r="AJ32" s="32">
        <v>0</v>
      </c>
      <c r="AK32" s="32">
        <v>0</v>
      </c>
      <c r="AL32" s="32">
        <v>0</v>
      </c>
      <c r="AM32" s="17">
        <v>2302</v>
      </c>
      <c r="AN32" s="17">
        <v>1114</v>
      </c>
      <c r="AO32" s="17">
        <v>866</v>
      </c>
      <c r="AP32" s="17">
        <v>51</v>
      </c>
      <c r="AQ32" s="17"/>
      <c r="AR32" s="17"/>
      <c r="AS32" s="17"/>
      <c r="AT32" s="17"/>
      <c r="AU32" s="13">
        <v>4051</v>
      </c>
      <c r="AV32" s="13">
        <v>2246</v>
      </c>
      <c r="AW32" s="13">
        <v>1996</v>
      </c>
    </row>
    <row r="33" spans="1:53" x14ac:dyDescent="0.3">
      <c r="A33" s="1">
        <v>31</v>
      </c>
      <c r="B33" s="10">
        <v>1</v>
      </c>
      <c r="C33" s="10" t="s">
        <v>61</v>
      </c>
      <c r="D33" s="15">
        <v>1</v>
      </c>
      <c r="E33" s="10">
        <v>1</v>
      </c>
      <c r="F33" s="10">
        <v>4</v>
      </c>
      <c r="G33" s="10">
        <v>0</v>
      </c>
      <c r="H33" s="12">
        <v>1</v>
      </c>
      <c r="I33" s="12">
        <v>0</v>
      </c>
      <c r="J33" s="12">
        <v>0</v>
      </c>
      <c r="K33" s="1">
        <v>694</v>
      </c>
      <c r="L33" s="1">
        <v>1</v>
      </c>
      <c r="N33" s="130">
        <v>45484</v>
      </c>
      <c r="O33" s="12">
        <v>19.09</v>
      </c>
      <c r="P33" s="12">
        <v>2050.7000000000007</v>
      </c>
      <c r="Q33" s="12">
        <v>983</v>
      </c>
      <c r="R33" s="12">
        <v>2.56</v>
      </c>
      <c r="S33" s="12">
        <v>7599.8499999999995</v>
      </c>
      <c r="T33" s="12">
        <v>52</v>
      </c>
      <c r="U33" s="12">
        <v>24.58</v>
      </c>
      <c r="V33" s="12">
        <v>3183.2799999999997</v>
      </c>
      <c r="W33" s="12">
        <v>760</v>
      </c>
      <c r="Y33" s="12"/>
      <c r="Z33" s="1"/>
      <c r="AA33" s="12"/>
      <c r="AB33" s="12"/>
      <c r="AC33" s="12"/>
      <c r="AD33" s="12"/>
      <c r="AE33" s="12"/>
      <c r="AF33" s="12"/>
      <c r="AG33" s="33">
        <v>0</v>
      </c>
      <c r="AH33" s="33">
        <v>0</v>
      </c>
      <c r="AI33" s="33">
        <v>0</v>
      </c>
      <c r="AJ33" s="33">
        <v>0</v>
      </c>
      <c r="AK33" s="33">
        <v>0</v>
      </c>
      <c r="AL33" s="33">
        <v>0</v>
      </c>
      <c r="AM33" s="1">
        <v>2087</v>
      </c>
      <c r="AN33" s="1">
        <v>983</v>
      </c>
      <c r="AO33" s="1">
        <v>760</v>
      </c>
      <c r="AP33" s="1">
        <v>52</v>
      </c>
      <c r="AU33">
        <v>4133</v>
      </c>
      <c r="AV33">
        <v>2315</v>
      </c>
      <c r="AW33">
        <v>1980</v>
      </c>
      <c r="BA33" s="13"/>
    </row>
    <row r="34" spans="1:53" x14ac:dyDescent="0.3">
      <c r="A34" s="1">
        <v>32</v>
      </c>
      <c r="B34" s="10">
        <v>1</v>
      </c>
      <c r="C34" s="10" t="s">
        <v>61</v>
      </c>
      <c r="D34" s="15">
        <v>1</v>
      </c>
      <c r="E34" s="10">
        <v>1</v>
      </c>
      <c r="F34" s="10">
        <v>2</v>
      </c>
      <c r="G34" s="10">
        <v>0</v>
      </c>
      <c r="H34" s="12">
        <v>1</v>
      </c>
      <c r="I34" s="12">
        <v>32</v>
      </c>
      <c r="J34" s="12">
        <v>1</v>
      </c>
      <c r="K34" s="1">
        <v>3298</v>
      </c>
      <c r="L34" s="1">
        <v>1</v>
      </c>
      <c r="N34" s="130">
        <v>45484</v>
      </c>
      <c r="O34" s="12">
        <v>19.2</v>
      </c>
      <c r="P34" s="12">
        <v>3889.9100000000008</v>
      </c>
      <c r="Q34" s="12">
        <v>989</v>
      </c>
      <c r="R34" s="12">
        <v>2.62</v>
      </c>
      <c r="S34" s="12">
        <v>9003.85</v>
      </c>
      <c r="T34" s="12">
        <v>54</v>
      </c>
      <c r="U34" s="12">
        <v>25.42</v>
      </c>
      <c r="V34" s="12">
        <v>4403.3099999999995</v>
      </c>
      <c r="W34" s="12">
        <v>780</v>
      </c>
      <c r="Y34" s="12"/>
      <c r="Z34" s="1"/>
      <c r="AA34" s="12"/>
      <c r="AB34" s="12"/>
      <c r="AC34" s="12"/>
      <c r="AD34" s="12"/>
      <c r="AE34" s="12"/>
      <c r="AF34" s="12"/>
      <c r="AG34" s="33">
        <v>0</v>
      </c>
      <c r="AH34" s="33">
        <v>0</v>
      </c>
      <c r="AI34" s="33">
        <v>0</v>
      </c>
      <c r="AJ34" s="33">
        <v>0</v>
      </c>
      <c r="AK34" s="33">
        <v>0</v>
      </c>
      <c r="AL34" s="33">
        <v>0</v>
      </c>
      <c r="AM34" s="1">
        <v>2341</v>
      </c>
      <c r="AN34" s="1">
        <v>989</v>
      </c>
      <c r="AO34" s="1">
        <v>780</v>
      </c>
      <c r="AP34" s="1">
        <v>54</v>
      </c>
      <c r="AU34">
        <v>4117</v>
      </c>
      <c r="AV34">
        <v>2274</v>
      </c>
      <c r="AW34">
        <v>2009</v>
      </c>
      <c r="BA34" s="13"/>
    </row>
    <row r="35" spans="1:53" x14ac:dyDescent="0.3">
      <c r="A35" s="1">
        <v>33</v>
      </c>
      <c r="B35" s="10">
        <v>1</v>
      </c>
      <c r="C35" s="10" t="s">
        <v>61</v>
      </c>
      <c r="D35" s="15">
        <v>2</v>
      </c>
      <c r="E35" s="10">
        <v>1</v>
      </c>
      <c r="F35" s="10">
        <v>2</v>
      </c>
      <c r="G35" s="10">
        <v>0</v>
      </c>
      <c r="H35" s="12">
        <v>1</v>
      </c>
      <c r="I35" s="12">
        <v>0</v>
      </c>
      <c r="J35" s="12">
        <v>0</v>
      </c>
      <c r="K35" s="1">
        <v>437</v>
      </c>
      <c r="L35" s="1">
        <v>1</v>
      </c>
      <c r="N35" s="130">
        <v>45484</v>
      </c>
      <c r="O35" s="12">
        <v>15.28</v>
      </c>
      <c r="P35" s="12">
        <v>-19</v>
      </c>
      <c r="Q35" s="12">
        <v>706</v>
      </c>
      <c r="R35" s="12">
        <v>2.09</v>
      </c>
      <c r="S35" s="12">
        <v>8445.01</v>
      </c>
      <c r="T35" s="12">
        <v>41</v>
      </c>
      <c r="U35" s="12">
        <v>18.02</v>
      </c>
      <c r="V35" s="12">
        <v>876.39999999999964</v>
      </c>
      <c r="W35" s="12">
        <v>476</v>
      </c>
      <c r="X35" s="10">
        <v>0.85</v>
      </c>
      <c r="Y35" s="12">
        <v>-29.349999999999909</v>
      </c>
      <c r="Z35" s="12">
        <v>37</v>
      </c>
      <c r="AA35" s="12">
        <v>0</v>
      </c>
      <c r="AB35" s="12">
        <v>-1834.4</v>
      </c>
      <c r="AC35" s="12">
        <v>0</v>
      </c>
      <c r="AD35" s="12">
        <v>1.47</v>
      </c>
      <c r="AE35" s="12">
        <v>-170.88000000000011</v>
      </c>
      <c r="AF35" s="12">
        <v>36</v>
      </c>
      <c r="AG35" s="33">
        <v>1.5447368421052583</v>
      </c>
      <c r="AH35" s="33">
        <v>7.2036673215455146E-3</v>
      </c>
      <c r="AI35" s="33">
        <v>-0.21721703112252089</v>
      </c>
      <c r="AJ35" s="33">
        <v>-5.1470588235294129E-2</v>
      </c>
      <c r="AK35" s="33">
        <v>-0.19497946143313577</v>
      </c>
      <c r="AL35" s="33">
        <v>8.0393290919606702E-2</v>
      </c>
      <c r="AM35" s="1">
        <v>1417</v>
      </c>
      <c r="AN35" s="1">
        <v>706</v>
      </c>
      <c r="AO35" s="1">
        <v>476</v>
      </c>
      <c r="AP35" s="1">
        <v>41</v>
      </c>
      <c r="AQ35" s="1">
        <v>95</v>
      </c>
      <c r="AR35" s="1">
        <v>37</v>
      </c>
      <c r="AS35" s="1">
        <v>36</v>
      </c>
      <c r="AT35" s="1">
        <v>0</v>
      </c>
      <c r="AU35">
        <v>3860</v>
      </c>
      <c r="AV35">
        <v>2147</v>
      </c>
      <c r="AW35">
        <v>1921</v>
      </c>
      <c r="AX35">
        <v>2683</v>
      </c>
      <c r="AY35">
        <v>2617</v>
      </c>
      <c r="AZ35">
        <v>1961</v>
      </c>
      <c r="BA35" s="13"/>
    </row>
    <row r="36" spans="1:53" x14ac:dyDescent="0.3">
      <c r="A36" s="1">
        <v>34</v>
      </c>
      <c r="B36" s="10">
        <v>1</v>
      </c>
      <c r="C36" s="10" t="s">
        <v>61</v>
      </c>
      <c r="D36" s="15">
        <v>1</v>
      </c>
      <c r="E36" s="10">
        <v>0</v>
      </c>
      <c r="F36" s="10">
        <v>2</v>
      </c>
      <c r="G36" s="10">
        <v>0</v>
      </c>
      <c r="H36" s="12">
        <v>0</v>
      </c>
      <c r="I36" s="12">
        <v>0</v>
      </c>
      <c r="J36" s="12">
        <v>0</v>
      </c>
      <c r="K36" s="1">
        <v>0</v>
      </c>
      <c r="L36" s="1">
        <v>0</v>
      </c>
      <c r="N36" s="130">
        <v>45484</v>
      </c>
      <c r="O36" s="12">
        <v>6.87</v>
      </c>
      <c r="P36" s="12">
        <v>845.69000000000051</v>
      </c>
      <c r="Q36" s="12">
        <v>326</v>
      </c>
      <c r="R36" s="12">
        <v>0.94</v>
      </c>
      <c r="S36" s="12">
        <v>24446.34</v>
      </c>
      <c r="T36" s="12">
        <v>18</v>
      </c>
      <c r="U36" s="12">
        <v>7.86</v>
      </c>
      <c r="V36" s="12">
        <v>2359.8199999999997</v>
      </c>
      <c r="W36" s="12">
        <v>222</v>
      </c>
      <c r="X36" s="10">
        <v>1.96</v>
      </c>
      <c r="Y36" s="12">
        <v>1338.7000000000003</v>
      </c>
      <c r="Z36" s="12">
        <v>93</v>
      </c>
      <c r="AA36" s="12">
        <v>0.21</v>
      </c>
      <c r="AB36" s="12">
        <v>14554.130000000001</v>
      </c>
      <c r="AC36" s="12">
        <v>4</v>
      </c>
      <c r="AD36" s="12">
        <v>2.99</v>
      </c>
      <c r="AE36" s="12">
        <v>1083.4600000000003</v>
      </c>
      <c r="AF36" s="12">
        <v>84</v>
      </c>
      <c r="AG36" s="33">
        <v>1.5829677541415879</v>
      </c>
      <c r="AH36" s="33">
        <v>3.0612244897959179E-2</v>
      </c>
      <c r="AI36" s="33">
        <v>0.59535006058166584</v>
      </c>
      <c r="AJ36" s="33">
        <v>0.16949152542372881</v>
      </c>
      <c r="AK36" s="33">
        <v>0.45912823859446922</v>
      </c>
      <c r="AL36" s="33">
        <v>0.38748335552596536</v>
      </c>
      <c r="AM36" s="1">
        <v>669</v>
      </c>
      <c r="AN36" s="1">
        <v>326</v>
      </c>
      <c r="AO36" s="1">
        <v>222</v>
      </c>
      <c r="AP36" s="1">
        <v>18</v>
      </c>
      <c r="AQ36" s="1">
        <v>185</v>
      </c>
      <c r="AR36" s="1">
        <v>93</v>
      </c>
      <c r="AS36" s="1">
        <v>84</v>
      </c>
      <c r="AT36" s="1">
        <v>4</v>
      </c>
      <c r="AU36">
        <v>4393</v>
      </c>
      <c r="AV36">
        <v>2594</v>
      </c>
      <c r="AW36">
        <v>1889</v>
      </c>
      <c r="AX36">
        <v>2877</v>
      </c>
      <c r="AY36">
        <v>2804</v>
      </c>
      <c r="AZ36">
        <v>1906</v>
      </c>
      <c r="BA36" s="13"/>
    </row>
    <row r="37" spans="1:53" x14ac:dyDescent="0.3">
      <c r="A37" s="1">
        <v>35</v>
      </c>
      <c r="B37" s="10">
        <v>1</v>
      </c>
      <c r="C37" s="10" t="s">
        <v>61</v>
      </c>
      <c r="D37" s="15">
        <v>1</v>
      </c>
      <c r="E37" s="10">
        <v>0</v>
      </c>
      <c r="F37" s="10">
        <v>3</v>
      </c>
      <c r="G37" s="10">
        <v>0</v>
      </c>
      <c r="H37" s="10">
        <v>0</v>
      </c>
      <c r="I37" s="10">
        <v>0</v>
      </c>
      <c r="J37" s="10">
        <v>0</v>
      </c>
      <c r="K37" s="1">
        <v>0</v>
      </c>
      <c r="L37" s="1">
        <v>0</v>
      </c>
      <c r="N37" s="130">
        <v>45484</v>
      </c>
      <c r="O37" s="10">
        <v>16.510000000000002</v>
      </c>
      <c r="P37" s="10">
        <v>995.89000000000033</v>
      </c>
      <c r="Q37" s="10">
        <v>819</v>
      </c>
      <c r="R37" s="10">
        <v>2.48</v>
      </c>
      <c r="S37" s="10">
        <v>5626.0700000000006</v>
      </c>
      <c r="T37" s="10">
        <v>48</v>
      </c>
      <c r="U37" s="10">
        <v>19.73</v>
      </c>
      <c r="V37" s="10">
        <v>1675.4700000000003</v>
      </c>
      <c r="W37" s="10">
        <v>594</v>
      </c>
      <c r="X37" s="10">
        <v>0.63</v>
      </c>
      <c r="Y37" s="10">
        <v>-157.51</v>
      </c>
      <c r="Z37" s="10">
        <v>30</v>
      </c>
      <c r="AA37" s="10">
        <v>0</v>
      </c>
      <c r="AB37" s="10">
        <v>-1761.84</v>
      </c>
      <c r="AC37" s="10">
        <v>0</v>
      </c>
      <c r="AD37" s="10">
        <v>1.07</v>
      </c>
      <c r="AE37" s="10">
        <v>-239.98000000000002</v>
      </c>
      <c r="AF37" s="10">
        <v>30</v>
      </c>
      <c r="AG37" s="33">
        <v>-0.1581600377551737</v>
      </c>
      <c r="AH37" s="33">
        <v>5.4545454545454541E-3</v>
      </c>
      <c r="AI37" s="33">
        <v>-0.31315643068785132</v>
      </c>
      <c r="AJ37" s="33">
        <v>-3.6585365853658534E-2</v>
      </c>
      <c r="AK37" s="33">
        <v>-0.14323145147331792</v>
      </c>
      <c r="AL37" s="33">
        <v>5.2408681842244578E-2</v>
      </c>
      <c r="AM37" s="1">
        <v>1635</v>
      </c>
      <c r="AN37" s="1">
        <v>819</v>
      </c>
      <c r="AO37" s="1">
        <v>594</v>
      </c>
      <c r="AP37" s="1">
        <v>48</v>
      </c>
      <c r="AQ37" s="1">
        <v>81</v>
      </c>
      <c r="AR37" s="1">
        <v>30</v>
      </c>
      <c r="AS37" s="1">
        <v>30</v>
      </c>
      <c r="AT37" s="1">
        <v>0</v>
      </c>
      <c r="AU37">
        <v>4097</v>
      </c>
      <c r="AV37">
        <v>2398</v>
      </c>
      <c r="AW37">
        <v>1887</v>
      </c>
      <c r="AX37">
        <v>3034</v>
      </c>
      <c r="AY37">
        <v>2991</v>
      </c>
      <c r="AZ37">
        <v>1932</v>
      </c>
      <c r="BA37" s="13"/>
    </row>
    <row r="38" spans="1:53" x14ac:dyDescent="0.3">
      <c r="A38" s="1">
        <v>36</v>
      </c>
      <c r="B38" s="10">
        <v>2</v>
      </c>
      <c r="C38" s="10" t="s">
        <v>62</v>
      </c>
      <c r="D38" s="15">
        <v>1</v>
      </c>
      <c r="E38" s="10">
        <v>0</v>
      </c>
      <c r="F38" s="10">
        <v>4</v>
      </c>
      <c r="G38" s="10">
        <v>0</v>
      </c>
      <c r="H38" s="10">
        <v>1</v>
      </c>
      <c r="I38" s="10">
        <v>0</v>
      </c>
      <c r="J38" s="10">
        <v>0</v>
      </c>
      <c r="K38" s="1">
        <v>1474</v>
      </c>
      <c r="L38" s="1">
        <v>1</v>
      </c>
      <c r="N38" s="130">
        <v>45484</v>
      </c>
      <c r="O38" s="10">
        <v>20.76</v>
      </c>
      <c r="P38" s="10">
        <v>1651</v>
      </c>
      <c r="Q38" s="10">
        <v>1016</v>
      </c>
      <c r="R38" s="10">
        <v>2.83</v>
      </c>
      <c r="S38" s="10">
        <v>6019.1200000000008</v>
      </c>
      <c r="T38" s="10">
        <v>54</v>
      </c>
      <c r="U38" s="10">
        <v>25.42</v>
      </c>
      <c r="V38" s="10">
        <v>3354.5699999999997</v>
      </c>
      <c r="W38" s="10">
        <v>754</v>
      </c>
      <c r="X38" s="10">
        <v>6.99</v>
      </c>
      <c r="Y38" s="10">
        <v>402.46000000000004</v>
      </c>
      <c r="Z38" s="10">
        <v>313</v>
      </c>
      <c r="AA38" s="10">
        <v>0.32</v>
      </c>
      <c r="AB38" s="10">
        <v>10728.89</v>
      </c>
      <c r="AC38" s="10">
        <v>6</v>
      </c>
      <c r="AD38" s="10">
        <v>11.69</v>
      </c>
      <c r="AE38" s="10">
        <v>-97.380000000000109</v>
      </c>
      <c r="AF38" s="10">
        <v>303</v>
      </c>
      <c r="AG38" s="33">
        <v>0.24376741368867355</v>
      </c>
      <c r="AH38" s="33">
        <v>2.8433734939759033E-2</v>
      </c>
      <c r="AI38" s="33">
        <v>1.7824682013317559</v>
      </c>
      <c r="AJ38" s="33">
        <v>-5.7803468208092535E-3</v>
      </c>
      <c r="AK38" s="33">
        <v>-2.9029055884956974E-2</v>
      </c>
      <c r="AL38" s="33">
        <v>0.4773848684210526</v>
      </c>
      <c r="AM38" s="1">
        <v>2174</v>
      </c>
      <c r="AN38" s="1">
        <v>1016</v>
      </c>
      <c r="AO38" s="1">
        <v>754</v>
      </c>
      <c r="AP38" s="1">
        <v>54</v>
      </c>
      <c r="AQ38" s="1">
        <v>529</v>
      </c>
      <c r="AR38" s="1">
        <v>313</v>
      </c>
      <c r="AS38" s="1">
        <v>303</v>
      </c>
      <c r="AT38" s="1">
        <v>6</v>
      </c>
      <c r="AU38">
        <v>3837</v>
      </c>
      <c r="AV38">
        <v>2193</v>
      </c>
      <c r="AW38">
        <v>1852</v>
      </c>
      <c r="AX38">
        <v>2970</v>
      </c>
      <c r="AY38">
        <v>2945</v>
      </c>
      <c r="AZ38">
        <v>1906</v>
      </c>
      <c r="BA38" s="13"/>
    </row>
    <row r="39" spans="1:53" x14ac:dyDescent="0.3">
      <c r="A39" s="1">
        <v>37</v>
      </c>
      <c r="B39" s="10">
        <v>2</v>
      </c>
      <c r="C39" s="10" t="s">
        <v>62</v>
      </c>
      <c r="D39" s="15">
        <v>1</v>
      </c>
      <c r="E39" s="10">
        <v>1</v>
      </c>
      <c r="F39" s="10">
        <v>2</v>
      </c>
      <c r="G39" s="10">
        <v>0</v>
      </c>
      <c r="H39" s="10">
        <v>1</v>
      </c>
      <c r="I39" s="10">
        <v>0</v>
      </c>
      <c r="J39" s="10">
        <v>0</v>
      </c>
      <c r="K39" s="1">
        <v>1149</v>
      </c>
      <c r="L39" s="1">
        <v>1</v>
      </c>
      <c r="N39" s="130">
        <v>45484</v>
      </c>
      <c r="O39" s="10">
        <v>24.83</v>
      </c>
      <c r="P39" s="10">
        <v>1979.1200000000008</v>
      </c>
      <c r="Q39" s="10">
        <v>1153</v>
      </c>
      <c r="R39" s="10">
        <v>3.61</v>
      </c>
      <c r="S39" s="10">
        <v>4252.4799999999996</v>
      </c>
      <c r="T39" s="10">
        <v>63</v>
      </c>
      <c r="U39" s="10">
        <v>29.5</v>
      </c>
      <c r="V39" s="10">
        <v>3739.4400000000005</v>
      </c>
      <c r="W39" s="10">
        <v>849</v>
      </c>
      <c r="X39" s="10">
        <v>1.29</v>
      </c>
      <c r="Y39" s="10">
        <v>-15.309999999999945</v>
      </c>
      <c r="Z39" s="10">
        <v>59</v>
      </c>
      <c r="AA39" s="10">
        <v>0.05</v>
      </c>
      <c r="AB39" s="10">
        <v>40885.53</v>
      </c>
      <c r="AC39" s="10">
        <v>1</v>
      </c>
      <c r="AD39" s="10">
        <v>2.14</v>
      </c>
      <c r="AE39" s="10">
        <v>-170.11999999999989</v>
      </c>
      <c r="AF39" s="10">
        <v>58</v>
      </c>
      <c r="AG39" s="33">
        <v>-7.7357613484780804E-3</v>
      </c>
      <c r="AH39" s="33">
        <v>5.2377115229653515E-3</v>
      </c>
      <c r="AI39" s="33">
        <v>9.6145143539769737</v>
      </c>
      <c r="AJ39" s="33">
        <v>-1.3636363636363634E-2</v>
      </c>
      <c r="AK39" s="33">
        <v>-4.5493442868450855E-2</v>
      </c>
      <c r="AL39" s="33">
        <v>7.3335706657173372E-2</v>
      </c>
      <c r="AM39" s="1">
        <v>2734</v>
      </c>
      <c r="AN39" s="1">
        <v>1153</v>
      </c>
      <c r="AO39" s="1">
        <v>849</v>
      </c>
      <c r="AP39" s="1">
        <v>63</v>
      </c>
      <c r="AQ39" s="1">
        <v>115</v>
      </c>
      <c r="AR39" s="1">
        <v>59</v>
      </c>
      <c r="AS39" s="1">
        <v>58</v>
      </c>
      <c r="AT39" s="1">
        <v>1</v>
      </c>
      <c r="AU39">
        <v>3429</v>
      </c>
      <c r="AV39">
        <v>2006</v>
      </c>
      <c r="AW39">
        <v>1684</v>
      </c>
      <c r="AX39">
        <v>2901</v>
      </c>
      <c r="AY39">
        <v>2860</v>
      </c>
      <c r="AZ39">
        <v>1746</v>
      </c>
      <c r="BA39" s="13"/>
    </row>
    <row r="40" spans="1:53" x14ac:dyDescent="0.3">
      <c r="A40" s="1">
        <v>38</v>
      </c>
      <c r="B40" s="10">
        <v>2</v>
      </c>
      <c r="C40" s="10" t="s">
        <v>62</v>
      </c>
      <c r="D40" s="15">
        <v>2</v>
      </c>
      <c r="E40" s="10">
        <v>0</v>
      </c>
      <c r="F40" s="10">
        <v>2</v>
      </c>
      <c r="G40" s="10">
        <v>0</v>
      </c>
      <c r="H40" s="10">
        <v>1</v>
      </c>
      <c r="I40" s="10">
        <v>48</v>
      </c>
      <c r="J40" s="10">
        <v>1</v>
      </c>
      <c r="K40" s="1">
        <v>2193</v>
      </c>
      <c r="L40" s="1">
        <v>1</v>
      </c>
      <c r="N40" s="130">
        <v>45484</v>
      </c>
      <c r="O40" s="10">
        <v>14.79</v>
      </c>
      <c r="P40" s="10">
        <v>69.600000000000364</v>
      </c>
      <c r="Q40" s="10">
        <v>680</v>
      </c>
      <c r="R40" s="10">
        <v>1.73</v>
      </c>
      <c r="S40" s="10">
        <v>3818.7200000000012</v>
      </c>
      <c r="T40" s="10">
        <v>33</v>
      </c>
      <c r="U40" s="10">
        <v>17.760000000000002</v>
      </c>
      <c r="V40" s="10">
        <v>1074.96</v>
      </c>
      <c r="W40" s="10">
        <v>474</v>
      </c>
      <c r="X40" s="10">
        <v>0.44</v>
      </c>
      <c r="Y40" s="10">
        <v>-149.81999999999994</v>
      </c>
      <c r="Z40" s="10">
        <v>20</v>
      </c>
      <c r="AA40" s="10">
        <v>0</v>
      </c>
      <c r="AB40" s="10">
        <v>-1790.81</v>
      </c>
      <c r="AC40" s="10">
        <v>0</v>
      </c>
      <c r="AD40" s="10">
        <v>0.72</v>
      </c>
      <c r="AE40" s="10">
        <v>-333.79999999999995</v>
      </c>
      <c r="AF40" s="10">
        <v>19</v>
      </c>
      <c r="AG40" s="33">
        <v>-2.1525862068965393</v>
      </c>
      <c r="AH40" s="33">
        <v>6.7658998646820036E-3</v>
      </c>
      <c r="AI40" s="33">
        <v>-0.46895556626304086</v>
      </c>
      <c r="AJ40" s="33">
        <v>-6.4000000000000001E-2</v>
      </c>
      <c r="AK40" s="33">
        <v>-0.31052318225794445</v>
      </c>
      <c r="AL40" s="33">
        <v>3.7037037037037035E-2</v>
      </c>
      <c r="AM40" s="1">
        <v>1156</v>
      </c>
      <c r="AN40" s="1">
        <v>680</v>
      </c>
      <c r="AO40" s="1">
        <v>474</v>
      </c>
      <c r="AP40" s="1">
        <v>33</v>
      </c>
      <c r="AQ40" s="1">
        <v>86</v>
      </c>
      <c r="AR40" s="1">
        <v>20</v>
      </c>
      <c r="AS40" s="1">
        <v>19</v>
      </c>
      <c r="AT40" s="1">
        <v>0</v>
      </c>
      <c r="AU40">
        <v>3871</v>
      </c>
      <c r="AV40">
        <v>2176</v>
      </c>
      <c r="AW40">
        <v>1879</v>
      </c>
      <c r="AX40">
        <v>2712</v>
      </c>
      <c r="AY40">
        <v>2645</v>
      </c>
      <c r="AZ40">
        <v>1910</v>
      </c>
      <c r="BA40" s="13"/>
    </row>
    <row r="41" spans="1:53" x14ac:dyDescent="0.3">
      <c r="A41" s="1">
        <v>39</v>
      </c>
      <c r="B41" s="10">
        <v>2</v>
      </c>
      <c r="C41" s="10" t="s">
        <v>62</v>
      </c>
      <c r="D41" s="15">
        <v>1</v>
      </c>
      <c r="E41" s="10">
        <v>1</v>
      </c>
      <c r="F41" s="10">
        <v>2</v>
      </c>
      <c r="G41" s="10">
        <v>0</v>
      </c>
      <c r="H41" s="10">
        <v>1</v>
      </c>
      <c r="I41" s="10">
        <v>0</v>
      </c>
      <c r="J41" s="10">
        <v>0</v>
      </c>
      <c r="K41" s="1">
        <v>11165</v>
      </c>
      <c r="L41" s="1">
        <v>1</v>
      </c>
      <c r="N41" s="130">
        <v>45484</v>
      </c>
      <c r="O41" s="10">
        <v>15.82</v>
      </c>
      <c r="P41" s="10">
        <v>1046.6000000000004</v>
      </c>
      <c r="Q41" s="10">
        <v>730</v>
      </c>
      <c r="R41" s="10">
        <v>1.43</v>
      </c>
      <c r="S41" s="10">
        <v>9277.68</v>
      </c>
      <c r="T41" s="10">
        <v>27</v>
      </c>
      <c r="U41" s="10">
        <v>19.920000000000002</v>
      </c>
      <c r="V41" s="10">
        <v>2196.9900000000007</v>
      </c>
      <c r="W41" s="10">
        <v>542</v>
      </c>
      <c r="X41" s="10">
        <v>4.84</v>
      </c>
      <c r="Y41" s="10">
        <v>198.1400000000001</v>
      </c>
      <c r="Z41" s="10">
        <v>223</v>
      </c>
      <c r="AA41" s="10">
        <v>0.25</v>
      </c>
      <c r="AB41" s="10">
        <v>9866.3599999999988</v>
      </c>
      <c r="AC41" s="10">
        <v>5</v>
      </c>
      <c r="AD41" s="10">
        <v>8.0399999999999991</v>
      </c>
      <c r="AE41" s="10">
        <v>-211.48000000000002</v>
      </c>
      <c r="AF41" s="10">
        <v>212</v>
      </c>
      <c r="AG41" s="33">
        <v>0.18931779094209825</v>
      </c>
      <c r="AH41" s="33">
        <v>3.036053130929791E-2</v>
      </c>
      <c r="AI41" s="33">
        <v>1.0634512076294935</v>
      </c>
      <c r="AJ41" s="33">
        <v>-8.5365853658536592E-2</v>
      </c>
      <c r="AK41" s="33">
        <v>-9.6258972503288562E-2</v>
      </c>
      <c r="AL41" s="33">
        <v>0.41222164681512158</v>
      </c>
      <c r="AM41" s="1">
        <v>1331</v>
      </c>
      <c r="AN41" s="1">
        <v>730</v>
      </c>
      <c r="AO41" s="1">
        <v>542</v>
      </c>
      <c r="AP41" s="1">
        <v>27</v>
      </c>
      <c r="AQ41" s="1">
        <v>434</v>
      </c>
      <c r="AR41" s="1">
        <v>223</v>
      </c>
      <c r="AS41" s="1">
        <v>212</v>
      </c>
      <c r="AT41" s="1">
        <v>5</v>
      </c>
      <c r="AU41">
        <v>3858</v>
      </c>
      <c r="AV41">
        <v>2161</v>
      </c>
      <c r="AW41">
        <v>1856</v>
      </c>
      <c r="AX41">
        <v>2748</v>
      </c>
      <c r="AY41">
        <v>2688</v>
      </c>
      <c r="AZ41">
        <v>1883</v>
      </c>
      <c r="BA41" s="13"/>
    </row>
    <row r="42" spans="1:53" x14ac:dyDescent="0.3">
      <c r="A42" s="1">
        <v>40</v>
      </c>
      <c r="B42" s="10">
        <v>2</v>
      </c>
      <c r="C42" s="10" t="s">
        <v>62</v>
      </c>
      <c r="D42" s="15">
        <v>1</v>
      </c>
      <c r="E42" s="10">
        <v>1</v>
      </c>
      <c r="F42" s="10">
        <v>2</v>
      </c>
      <c r="G42" s="10">
        <v>0</v>
      </c>
      <c r="H42" s="10">
        <v>0</v>
      </c>
      <c r="I42" s="10">
        <v>0</v>
      </c>
      <c r="J42" s="10">
        <v>0</v>
      </c>
      <c r="K42" s="1">
        <v>0</v>
      </c>
      <c r="L42" s="1">
        <v>0</v>
      </c>
      <c r="N42" s="130">
        <v>45484</v>
      </c>
      <c r="O42" s="10">
        <v>18.64</v>
      </c>
      <c r="P42" s="10">
        <v>1741.3200000000006</v>
      </c>
      <c r="Q42" s="10">
        <v>930</v>
      </c>
      <c r="R42" s="10">
        <v>2.2200000000000002</v>
      </c>
      <c r="S42" s="10">
        <v>4393.1600000000008</v>
      </c>
      <c r="T42" s="10">
        <v>43</v>
      </c>
      <c r="U42" s="10">
        <v>24.26</v>
      </c>
      <c r="V42" s="10">
        <v>2667.2300000000005</v>
      </c>
      <c r="W42" s="10">
        <v>734</v>
      </c>
      <c r="X42" s="10">
        <v>1.1299999999999999</v>
      </c>
      <c r="Y42" s="10">
        <v>-246.75</v>
      </c>
      <c r="Z42" s="10">
        <v>52</v>
      </c>
      <c r="AA42" s="10">
        <v>0</v>
      </c>
      <c r="AB42" s="10">
        <v>-1773.2</v>
      </c>
      <c r="AC42" s="10">
        <v>0</v>
      </c>
      <c r="AD42" s="10">
        <v>1.95</v>
      </c>
      <c r="AE42" s="10">
        <v>-354.44000000000005</v>
      </c>
      <c r="AF42" s="10">
        <v>51</v>
      </c>
      <c r="AG42" s="33">
        <v>-0.14170284611673897</v>
      </c>
      <c r="AH42" s="33">
        <v>6.4412238325281803E-3</v>
      </c>
      <c r="AI42" s="33">
        <v>-0.40362745722896498</v>
      </c>
      <c r="AJ42" s="33">
        <v>-5.4794520547945202E-2</v>
      </c>
      <c r="AK42" s="33">
        <v>-0.13288692763653678</v>
      </c>
      <c r="AL42" s="33">
        <v>7.9574468085106376E-2</v>
      </c>
      <c r="AM42" s="1">
        <v>1760</v>
      </c>
      <c r="AN42" s="1">
        <v>930</v>
      </c>
      <c r="AO42" s="1">
        <v>734</v>
      </c>
      <c r="AP42" s="1">
        <v>43</v>
      </c>
      <c r="AQ42" s="1">
        <v>109</v>
      </c>
      <c r="AR42" s="1">
        <v>52</v>
      </c>
      <c r="AS42" s="1">
        <v>51</v>
      </c>
      <c r="AT42" s="1">
        <v>0</v>
      </c>
      <c r="AU42">
        <v>4026</v>
      </c>
      <c r="AV42">
        <v>2276</v>
      </c>
      <c r="AW42">
        <v>1895</v>
      </c>
      <c r="AX42">
        <v>3032</v>
      </c>
      <c r="AY42">
        <v>2976</v>
      </c>
      <c r="AZ42">
        <v>1937</v>
      </c>
      <c r="BA42" s="13"/>
    </row>
    <row r="43" spans="1:53" x14ac:dyDescent="0.3">
      <c r="A43" s="1">
        <v>41</v>
      </c>
      <c r="B43" s="10">
        <v>2</v>
      </c>
      <c r="C43" s="10" t="s">
        <v>62</v>
      </c>
      <c r="D43" s="15">
        <v>1</v>
      </c>
      <c r="E43" s="10">
        <v>1</v>
      </c>
      <c r="F43" s="10">
        <v>2</v>
      </c>
      <c r="G43" s="10">
        <v>0</v>
      </c>
      <c r="H43" s="10">
        <v>0</v>
      </c>
      <c r="I43" s="10">
        <v>0</v>
      </c>
      <c r="J43" s="10">
        <v>0</v>
      </c>
      <c r="K43" s="1">
        <v>0</v>
      </c>
      <c r="L43" s="1">
        <v>0</v>
      </c>
      <c r="N43" s="130">
        <v>45484</v>
      </c>
      <c r="O43" s="10">
        <v>8.6199999999999992</v>
      </c>
      <c r="P43" s="10">
        <v>-66.639999999999418</v>
      </c>
      <c r="Q43" s="10">
        <v>294</v>
      </c>
      <c r="R43" s="10">
        <v>2.0499999999999998</v>
      </c>
      <c r="S43" s="10">
        <v>10877.95</v>
      </c>
      <c r="T43" s="10">
        <v>27</v>
      </c>
      <c r="U43" s="10">
        <v>8.7100000000000009</v>
      </c>
      <c r="V43" s="10">
        <v>798.77999999999975</v>
      </c>
      <c r="W43" s="10">
        <v>181</v>
      </c>
      <c r="X43" s="10">
        <v>1.98</v>
      </c>
      <c r="Y43" s="10">
        <v>946.34000000000015</v>
      </c>
      <c r="Z43" s="10">
        <v>83</v>
      </c>
      <c r="AA43" s="10">
        <v>0.18</v>
      </c>
      <c r="AB43" s="10">
        <v>5940.8899999999994</v>
      </c>
      <c r="AC43" s="10">
        <v>3</v>
      </c>
      <c r="AD43" s="10">
        <v>2.96</v>
      </c>
      <c r="AE43" s="10">
        <v>406.29999999999995</v>
      </c>
      <c r="AF43" s="10">
        <v>74</v>
      </c>
      <c r="AG43" s="33">
        <v>-14.200780312124976</v>
      </c>
      <c r="AH43" s="33">
        <v>2.5551684088269456E-2</v>
      </c>
      <c r="AI43" s="33">
        <v>0.54614058715107161</v>
      </c>
      <c r="AJ43" s="33">
        <v>2.1857923497267749E-2</v>
      </c>
      <c r="AK43" s="33">
        <v>0.50865069230576643</v>
      </c>
      <c r="AL43" s="33">
        <v>0.33922261484098937</v>
      </c>
      <c r="AM43" s="1">
        <v>470</v>
      </c>
      <c r="AN43" s="1">
        <v>294</v>
      </c>
      <c r="AO43" s="1">
        <v>181</v>
      </c>
      <c r="AP43" s="1">
        <v>27</v>
      </c>
      <c r="AQ43" s="1">
        <v>197</v>
      </c>
      <c r="AR43" s="1">
        <v>83</v>
      </c>
      <c r="AS43" s="1">
        <v>74</v>
      </c>
      <c r="AT43" s="1">
        <v>3</v>
      </c>
      <c r="AU43">
        <v>3092</v>
      </c>
      <c r="AV43">
        <v>1891</v>
      </c>
      <c r="AW43">
        <v>1289</v>
      </c>
      <c r="AX43">
        <v>2096</v>
      </c>
      <c r="AY43">
        <v>2067</v>
      </c>
      <c r="AZ43">
        <v>1314</v>
      </c>
      <c r="BA43" s="13"/>
    </row>
    <row r="44" spans="1:53" x14ac:dyDescent="0.3">
      <c r="A44" s="1">
        <v>42</v>
      </c>
      <c r="B44" s="10">
        <v>4</v>
      </c>
      <c r="C44" s="10" t="s">
        <v>63</v>
      </c>
      <c r="D44" s="15">
        <v>1</v>
      </c>
      <c r="E44" s="10">
        <v>0</v>
      </c>
      <c r="F44" s="10">
        <v>3</v>
      </c>
      <c r="G44" s="10">
        <v>0</v>
      </c>
      <c r="H44" s="10">
        <v>1</v>
      </c>
      <c r="I44" s="10">
        <v>0</v>
      </c>
      <c r="J44" s="10">
        <v>0</v>
      </c>
      <c r="K44" s="1">
        <v>11778</v>
      </c>
      <c r="L44" s="1">
        <v>1</v>
      </c>
      <c r="N44" s="130">
        <v>45484</v>
      </c>
      <c r="O44" s="10">
        <v>13.39</v>
      </c>
      <c r="P44" s="10">
        <v>-790.04999999999927</v>
      </c>
      <c r="Q44" s="10">
        <v>656</v>
      </c>
      <c r="R44" s="10">
        <v>1.83</v>
      </c>
      <c r="S44" s="10">
        <v>10910.689999999999</v>
      </c>
      <c r="T44" s="10">
        <v>36</v>
      </c>
      <c r="U44" s="10">
        <v>14.8</v>
      </c>
      <c r="V44" s="10">
        <v>-101.26999999999953</v>
      </c>
      <c r="W44" s="10">
        <v>431</v>
      </c>
      <c r="X44" s="10">
        <v>0.81</v>
      </c>
      <c r="Y44" s="10">
        <v>-153.48999999999978</v>
      </c>
      <c r="Z44" s="10">
        <v>36</v>
      </c>
      <c r="AA44" s="10">
        <v>0</v>
      </c>
      <c r="AB44" s="10">
        <v>-1781.22</v>
      </c>
      <c r="AC44" s="10">
        <v>0</v>
      </c>
      <c r="AD44" s="10">
        <v>1.32</v>
      </c>
      <c r="AE44" s="10">
        <v>-255.33999999999992</v>
      </c>
      <c r="AF44" s="10">
        <v>36</v>
      </c>
      <c r="AG44" s="33">
        <v>0.19427884311119539</v>
      </c>
      <c r="AH44" s="33">
        <v>7.4738415545590429E-3</v>
      </c>
      <c r="AI44" s="33">
        <v>-0.16325456960100601</v>
      </c>
      <c r="AJ44" s="33">
        <v>-5.6737588652482268E-2</v>
      </c>
      <c r="AK44" s="33">
        <v>2.5213784931371692</v>
      </c>
      <c r="AL44" s="33">
        <v>8.6230876216968011E-2</v>
      </c>
      <c r="AM44" s="1">
        <v>1056</v>
      </c>
      <c r="AN44" s="1">
        <v>656</v>
      </c>
      <c r="AO44" s="1">
        <v>431</v>
      </c>
      <c r="AP44" s="1">
        <v>36</v>
      </c>
      <c r="AQ44" s="1">
        <v>93</v>
      </c>
      <c r="AR44" s="1">
        <v>36</v>
      </c>
      <c r="AS44" s="1">
        <v>36</v>
      </c>
      <c r="AT44" s="1">
        <v>0</v>
      </c>
      <c r="AU44">
        <v>4202</v>
      </c>
      <c r="AV44">
        <v>2457</v>
      </c>
      <c r="AW44">
        <v>1928</v>
      </c>
      <c r="AX44">
        <v>2956</v>
      </c>
      <c r="AY44">
        <v>2880</v>
      </c>
      <c r="AZ44">
        <v>1962</v>
      </c>
      <c r="BA44" s="13"/>
    </row>
    <row r="45" spans="1:53" x14ac:dyDescent="0.3">
      <c r="A45" s="1">
        <v>43</v>
      </c>
      <c r="B45" s="10">
        <v>4</v>
      </c>
      <c r="C45" s="10" t="s">
        <v>63</v>
      </c>
      <c r="D45" s="15">
        <v>1</v>
      </c>
      <c r="E45" s="10">
        <v>0</v>
      </c>
      <c r="F45" s="10">
        <v>1</v>
      </c>
      <c r="G45" s="10">
        <v>0</v>
      </c>
      <c r="H45" s="10">
        <v>0</v>
      </c>
      <c r="I45" s="10">
        <v>0</v>
      </c>
      <c r="J45" s="10">
        <v>0</v>
      </c>
      <c r="K45" s="1">
        <v>0</v>
      </c>
      <c r="L45" s="1">
        <v>0</v>
      </c>
      <c r="N45" s="130">
        <v>45484</v>
      </c>
      <c r="O45" s="10">
        <v>9.3000000000000007</v>
      </c>
      <c r="P45" s="10">
        <v>364.41000000000076</v>
      </c>
      <c r="Q45" s="10">
        <v>454</v>
      </c>
      <c r="R45" s="10">
        <v>1.49</v>
      </c>
      <c r="S45" s="10">
        <v>5923.7699999999995</v>
      </c>
      <c r="T45" s="10">
        <v>30</v>
      </c>
      <c r="U45" s="10">
        <v>10.51</v>
      </c>
      <c r="V45" s="10">
        <v>848.43000000000029</v>
      </c>
      <c r="W45" s="10">
        <v>300</v>
      </c>
      <c r="X45" s="10">
        <v>0.6</v>
      </c>
      <c r="Y45" s="10">
        <v>-145.58999999999992</v>
      </c>
      <c r="Z45" s="10">
        <v>24</v>
      </c>
      <c r="AA45" s="10">
        <v>0</v>
      </c>
      <c r="AB45" s="10">
        <v>-1805.03</v>
      </c>
      <c r="AC45" s="10">
        <v>0</v>
      </c>
      <c r="AD45" s="10">
        <v>0.92</v>
      </c>
      <c r="AE45" s="10">
        <v>-364.46000000000004</v>
      </c>
      <c r="AF45" s="10">
        <v>23</v>
      </c>
      <c r="AG45" s="33">
        <v>-0.39952251584753329</v>
      </c>
      <c r="AH45" s="33">
        <v>1.076426264800861E-2</v>
      </c>
      <c r="AI45" s="33">
        <v>-0.30470966968670293</v>
      </c>
      <c r="AJ45" s="33">
        <v>-6.7961165048543701E-2</v>
      </c>
      <c r="AK45" s="33">
        <v>-0.42956991148356366</v>
      </c>
      <c r="AL45" s="33">
        <v>8.3582089552238822E-2</v>
      </c>
      <c r="AM45" s="1">
        <v>884</v>
      </c>
      <c r="AN45" s="1">
        <v>454</v>
      </c>
      <c r="AO45" s="1">
        <v>300</v>
      </c>
      <c r="AP45" s="1">
        <v>30</v>
      </c>
      <c r="AQ45" s="1">
        <v>89</v>
      </c>
      <c r="AR45" s="1">
        <v>24</v>
      </c>
      <c r="AS45" s="1">
        <v>23</v>
      </c>
      <c r="AT45" s="1">
        <v>0</v>
      </c>
      <c r="AU45">
        <v>4404</v>
      </c>
      <c r="AV45">
        <v>2539</v>
      </c>
      <c r="AW45">
        <v>1976</v>
      </c>
      <c r="AX45">
        <v>2902</v>
      </c>
      <c r="AY45">
        <v>2829</v>
      </c>
      <c r="AZ45">
        <v>2006</v>
      </c>
      <c r="BA45" s="13"/>
    </row>
    <row r="46" spans="1:53" x14ac:dyDescent="0.3">
      <c r="A46" s="1">
        <v>44</v>
      </c>
      <c r="B46" s="10">
        <v>0</v>
      </c>
      <c r="C46" s="10" t="s">
        <v>60</v>
      </c>
      <c r="D46" s="15">
        <v>2</v>
      </c>
      <c r="E46" s="10">
        <v>1</v>
      </c>
      <c r="F46" s="10">
        <v>1</v>
      </c>
      <c r="G46" s="10">
        <v>0</v>
      </c>
      <c r="H46" s="10">
        <v>1</v>
      </c>
      <c r="I46" s="10">
        <v>0</v>
      </c>
      <c r="J46" s="10">
        <v>0</v>
      </c>
      <c r="K46" s="1">
        <v>223</v>
      </c>
      <c r="L46" s="1">
        <v>1</v>
      </c>
      <c r="N46" s="130">
        <v>45484</v>
      </c>
      <c r="O46" s="10">
        <v>26.4</v>
      </c>
      <c r="P46" s="10">
        <v>5107.9800000000005</v>
      </c>
      <c r="Q46" s="10">
        <v>1288</v>
      </c>
      <c r="R46" s="10">
        <v>3.85</v>
      </c>
      <c r="S46" s="10">
        <v>10711.56</v>
      </c>
      <c r="T46" s="10">
        <v>70</v>
      </c>
      <c r="U46" s="10">
        <v>32.47</v>
      </c>
      <c r="V46" s="10">
        <v>7630.23</v>
      </c>
      <c r="W46" s="10">
        <v>987</v>
      </c>
      <c r="X46" s="10">
        <v>0.37</v>
      </c>
      <c r="Y46" s="10">
        <v>-203.76</v>
      </c>
      <c r="Z46" s="10">
        <v>15</v>
      </c>
      <c r="AA46" s="10">
        <v>0</v>
      </c>
      <c r="AB46" s="10">
        <v>-1755.61</v>
      </c>
      <c r="AC46" s="10">
        <v>0</v>
      </c>
      <c r="AD46" s="10">
        <v>0.61</v>
      </c>
      <c r="AE46" s="10">
        <v>-280</v>
      </c>
      <c r="AF46" s="10">
        <v>15</v>
      </c>
      <c r="AG46" s="33">
        <v>-3.9890524238544389E-2</v>
      </c>
      <c r="AH46" s="33">
        <v>3.4103827207275484E-3</v>
      </c>
      <c r="AI46" s="33">
        <v>-0.16389862914458772</v>
      </c>
      <c r="AJ46" s="33">
        <v>-4.7619047619047609E-2</v>
      </c>
      <c r="AK46" s="33">
        <v>-3.6696141531775583E-2</v>
      </c>
      <c r="AL46" s="33">
        <v>1.7737617135207499E-2</v>
      </c>
      <c r="AM46" s="1">
        <v>3988</v>
      </c>
      <c r="AN46" s="1">
        <v>1288</v>
      </c>
      <c r="AO46" s="1">
        <v>987</v>
      </c>
      <c r="AP46" s="1">
        <v>70</v>
      </c>
      <c r="AQ46" s="1">
        <v>77</v>
      </c>
      <c r="AR46" s="1">
        <v>15</v>
      </c>
      <c r="AS46" s="1">
        <v>15</v>
      </c>
      <c r="AT46" s="1">
        <v>0</v>
      </c>
      <c r="AU46">
        <v>3528</v>
      </c>
      <c r="AV46">
        <v>2026</v>
      </c>
      <c r="AW46">
        <v>1749</v>
      </c>
      <c r="AX46">
        <v>2994</v>
      </c>
      <c r="AY46">
        <v>3013</v>
      </c>
      <c r="AZ46">
        <v>1818</v>
      </c>
      <c r="BA46" s="13"/>
    </row>
    <row r="47" spans="1:53" x14ac:dyDescent="0.3">
      <c r="A47" s="1">
        <v>45</v>
      </c>
      <c r="B47" s="10">
        <v>0</v>
      </c>
      <c r="C47" s="10" t="s">
        <v>60</v>
      </c>
      <c r="D47" s="15">
        <v>1</v>
      </c>
      <c r="E47" s="10">
        <v>1</v>
      </c>
      <c r="F47" s="10">
        <v>2</v>
      </c>
      <c r="G47" s="10">
        <v>0</v>
      </c>
      <c r="H47" s="10">
        <v>1</v>
      </c>
      <c r="I47" s="10">
        <v>0</v>
      </c>
      <c r="J47" s="10">
        <v>0</v>
      </c>
      <c r="K47" s="1">
        <v>3891</v>
      </c>
      <c r="L47" s="1">
        <v>1</v>
      </c>
      <c r="N47" s="130">
        <v>45484</v>
      </c>
      <c r="O47" s="10">
        <v>18.760000000000002</v>
      </c>
      <c r="P47" s="10">
        <v>3312.1400000000003</v>
      </c>
      <c r="Q47" s="10">
        <v>934</v>
      </c>
      <c r="R47" s="10">
        <v>2.95</v>
      </c>
      <c r="S47" s="10">
        <v>6151.1699999999992</v>
      </c>
      <c r="T47" s="10">
        <v>59</v>
      </c>
      <c r="U47" s="10">
        <v>23.9</v>
      </c>
      <c r="V47" s="10">
        <v>4344.1899999999996</v>
      </c>
      <c r="W47" s="10">
        <v>708</v>
      </c>
      <c r="X47" s="10">
        <v>1.1399999999999999</v>
      </c>
      <c r="Y47" s="10">
        <v>-34.639999999999873</v>
      </c>
      <c r="Z47" s="10">
        <v>50</v>
      </c>
      <c r="AA47" s="10">
        <v>0</v>
      </c>
      <c r="AB47" s="10">
        <v>-1792.36</v>
      </c>
      <c r="AC47" s="10">
        <v>0</v>
      </c>
      <c r="AD47" s="10">
        <v>1.91</v>
      </c>
      <c r="AE47" s="10">
        <v>-154.36999999999989</v>
      </c>
      <c r="AF47" s="10">
        <v>49</v>
      </c>
      <c r="AG47" s="33">
        <v>-1.0458495111921559E-2</v>
      </c>
      <c r="AH47" s="33">
        <v>5.8666666666666667E-3</v>
      </c>
      <c r="AI47" s="33">
        <v>-0.29138521614587148</v>
      </c>
      <c r="AJ47" s="33">
        <v>-3.6585365853658534E-2</v>
      </c>
      <c r="AK47" s="33">
        <v>-3.5534817768099441E-2</v>
      </c>
      <c r="AL47" s="33">
        <v>8.1009296148738377E-2</v>
      </c>
      <c r="AM47" s="1">
        <v>2186</v>
      </c>
      <c r="AN47" s="1">
        <v>934</v>
      </c>
      <c r="AO47" s="1">
        <v>708</v>
      </c>
      <c r="AP47" s="1">
        <v>59</v>
      </c>
      <c r="AQ47" s="1">
        <v>97</v>
      </c>
      <c r="AR47" s="1">
        <v>50</v>
      </c>
      <c r="AS47" s="1">
        <v>49</v>
      </c>
      <c r="AT47" s="1">
        <v>0</v>
      </c>
      <c r="AU47">
        <v>4003</v>
      </c>
      <c r="AV47">
        <v>2234</v>
      </c>
      <c r="AW47">
        <v>1941</v>
      </c>
      <c r="AX47">
        <v>2984</v>
      </c>
      <c r="AY47">
        <v>2946</v>
      </c>
      <c r="AZ47">
        <v>1999</v>
      </c>
      <c r="BA47" s="13"/>
    </row>
    <row r="48" spans="1:53" x14ac:dyDescent="0.3">
      <c r="A48" s="1">
        <v>46</v>
      </c>
      <c r="B48" s="10">
        <v>0</v>
      </c>
      <c r="C48" s="10" t="s">
        <v>60</v>
      </c>
      <c r="D48" s="15">
        <v>1</v>
      </c>
      <c r="E48" s="10">
        <v>1</v>
      </c>
      <c r="F48" s="10">
        <v>2</v>
      </c>
      <c r="G48" s="10">
        <v>0</v>
      </c>
      <c r="H48" s="10">
        <v>1</v>
      </c>
      <c r="I48" s="10">
        <v>0</v>
      </c>
      <c r="J48" s="10">
        <v>0</v>
      </c>
      <c r="K48" s="1">
        <v>9464</v>
      </c>
      <c r="L48" s="1">
        <v>1</v>
      </c>
      <c r="N48" s="130">
        <v>45484</v>
      </c>
      <c r="O48" s="10">
        <v>15.43</v>
      </c>
      <c r="P48" s="10">
        <v>1219.3700000000008</v>
      </c>
      <c r="Q48" s="10">
        <v>692</v>
      </c>
      <c r="R48" s="10">
        <v>2.46</v>
      </c>
      <c r="S48" s="10">
        <v>2893.119999999999</v>
      </c>
      <c r="T48" s="10">
        <v>45</v>
      </c>
      <c r="U48" s="10">
        <v>19.52</v>
      </c>
      <c r="V48" s="10">
        <v>1857.3099999999995</v>
      </c>
      <c r="W48" s="10">
        <v>516</v>
      </c>
      <c r="X48" s="10">
        <v>1.32</v>
      </c>
      <c r="Y48" s="10">
        <v>-235.16999999999985</v>
      </c>
      <c r="Z48" s="10">
        <v>57</v>
      </c>
      <c r="AA48" s="10">
        <v>0.12</v>
      </c>
      <c r="AB48" s="10">
        <v>8288.0099999999984</v>
      </c>
      <c r="AC48" s="10">
        <v>2</v>
      </c>
      <c r="AD48" s="10">
        <v>1.99</v>
      </c>
      <c r="AE48" s="10">
        <v>-345.44000000000005</v>
      </c>
      <c r="AF48" s="10">
        <v>52</v>
      </c>
      <c r="AG48" s="33">
        <v>-0.1928618876961051</v>
      </c>
      <c r="AH48" s="33">
        <v>9.727626459143969E-3</v>
      </c>
      <c r="AI48" s="33">
        <v>2.8647308096449513</v>
      </c>
      <c r="AJ48" s="33">
        <v>6.2499999999999969E-3</v>
      </c>
      <c r="AK48" s="33">
        <v>-0.18598941479882203</v>
      </c>
      <c r="AL48" s="33">
        <v>0.10235798499464094</v>
      </c>
      <c r="AM48" s="1">
        <v>1589</v>
      </c>
      <c r="AN48" s="1">
        <v>692</v>
      </c>
      <c r="AO48" s="1">
        <v>516</v>
      </c>
      <c r="AP48" s="1">
        <v>45</v>
      </c>
      <c r="AQ48" s="1">
        <v>138</v>
      </c>
      <c r="AR48" s="1">
        <v>57</v>
      </c>
      <c r="AS48" s="1">
        <v>52</v>
      </c>
      <c r="AT48" s="1">
        <v>2</v>
      </c>
      <c r="AU48">
        <v>3762</v>
      </c>
      <c r="AV48">
        <v>2113</v>
      </c>
      <c r="AW48">
        <v>1780</v>
      </c>
      <c r="AX48">
        <v>2665</v>
      </c>
      <c r="AY48">
        <v>2622</v>
      </c>
      <c r="AZ48">
        <v>1825</v>
      </c>
      <c r="BA48" s="13"/>
    </row>
    <row r="49" spans="1:53" x14ac:dyDescent="0.3">
      <c r="A49" s="1">
        <v>47</v>
      </c>
      <c r="B49" s="10">
        <v>0</v>
      </c>
      <c r="C49" s="10" t="s">
        <v>60</v>
      </c>
      <c r="D49" s="15">
        <v>2</v>
      </c>
      <c r="E49" s="10">
        <v>1</v>
      </c>
      <c r="F49" s="10">
        <v>3</v>
      </c>
      <c r="G49" s="10">
        <v>0</v>
      </c>
      <c r="H49" s="10">
        <v>1</v>
      </c>
      <c r="I49" s="10">
        <v>0</v>
      </c>
      <c r="J49" s="10">
        <v>0</v>
      </c>
      <c r="K49" s="1">
        <v>475</v>
      </c>
      <c r="L49" s="1">
        <v>1</v>
      </c>
      <c r="N49" s="130">
        <v>45484</v>
      </c>
      <c r="O49" s="10">
        <v>17.95</v>
      </c>
      <c r="P49" s="10">
        <v>3003.5100000000011</v>
      </c>
      <c r="Q49" s="10">
        <v>916</v>
      </c>
      <c r="R49" s="10">
        <v>2.08</v>
      </c>
      <c r="S49" s="10">
        <v>3150.3</v>
      </c>
      <c r="T49" s="10">
        <v>43</v>
      </c>
      <c r="U49" s="10">
        <v>23.19</v>
      </c>
      <c r="V49" s="10">
        <v>3906.6400000000003</v>
      </c>
      <c r="W49" s="10">
        <v>699</v>
      </c>
      <c r="X49" s="10">
        <v>2.87</v>
      </c>
      <c r="Y49" s="10">
        <v>710.59000000000015</v>
      </c>
      <c r="Z49" s="10">
        <v>121</v>
      </c>
      <c r="AA49" s="10">
        <v>0.41</v>
      </c>
      <c r="AB49" s="10">
        <v>9743.35</v>
      </c>
      <c r="AC49" s="10">
        <v>7</v>
      </c>
      <c r="AD49" s="10">
        <v>4.5199999999999996</v>
      </c>
      <c r="AE49" s="10">
        <v>273.7199999999998</v>
      </c>
      <c r="AF49" s="10">
        <v>113</v>
      </c>
      <c r="AG49" s="33">
        <v>0.23658652709663022</v>
      </c>
      <c r="AH49" s="33">
        <v>1.5607580824972133E-2</v>
      </c>
      <c r="AI49" s="33">
        <v>3.0928324286575881</v>
      </c>
      <c r="AJ49" s="33">
        <v>0.27272727272727265</v>
      </c>
      <c r="AK49" s="33">
        <v>7.0065324677984098E-2</v>
      </c>
      <c r="AL49" s="33">
        <v>0.20190995907230555</v>
      </c>
      <c r="AM49" s="1">
        <v>2134</v>
      </c>
      <c r="AN49" s="1">
        <v>916</v>
      </c>
      <c r="AO49" s="1">
        <v>699</v>
      </c>
      <c r="AP49" s="1">
        <v>43</v>
      </c>
      <c r="AQ49" s="1">
        <v>245</v>
      </c>
      <c r="AR49" s="1">
        <v>121</v>
      </c>
      <c r="AS49" s="1">
        <v>113</v>
      </c>
      <c r="AT49" s="1">
        <v>7</v>
      </c>
      <c r="AU49">
        <v>4140</v>
      </c>
      <c r="AV49">
        <v>2301</v>
      </c>
      <c r="AW49">
        <v>2029</v>
      </c>
      <c r="AX49">
        <v>3040</v>
      </c>
      <c r="AY49">
        <v>2991</v>
      </c>
      <c r="AZ49">
        <v>2070</v>
      </c>
      <c r="BA49" s="13"/>
    </row>
    <row r="50" spans="1:53" x14ac:dyDescent="0.3">
      <c r="A50" s="1">
        <v>48</v>
      </c>
      <c r="B50" s="10">
        <v>0</v>
      </c>
      <c r="C50" s="10" t="s">
        <v>60</v>
      </c>
      <c r="D50" s="15">
        <v>2</v>
      </c>
      <c r="E50" s="10">
        <v>0</v>
      </c>
      <c r="F50" s="10">
        <v>4</v>
      </c>
      <c r="G50" s="10">
        <v>0</v>
      </c>
      <c r="H50" s="10">
        <v>1</v>
      </c>
      <c r="I50" s="10">
        <v>0</v>
      </c>
      <c r="J50" s="10">
        <v>0</v>
      </c>
      <c r="K50" s="1">
        <v>3979</v>
      </c>
      <c r="L50" s="1">
        <v>1</v>
      </c>
      <c r="N50" s="130">
        <v>45484</v>
      </c>
      <c r="O50" s="10">
        <v>15.77</v>
      </c>
      <c r="P50" s="10">
        <v>720.19000000000051</v>
      </c>
      <c r="Q50" s="10">
        <v>859</v>
      </c>
      <c r="R50" s="10">
        <v>2.0699999999999998</v>
      </c>
      <c r="S50" s="10">
        <v>6442.2300000000005</v>
      </c>
      <c r="T50" s="10">
        <v>41</v>
      </c>
      <c r="U50" s="10">
        <v>18.399999999999999</v>
      </c>
      <c r="V50" s="10">
        <v>1610.42</v>
      </c>
      <c r="W50" s="10">
        <v>633</v>
      </c>
      <c r="X50" s="10">
        <v>1.64</v>
      </c>
      <c r="Y50" s="10">
        <v>-15.459999999999809</v>
      </c>
      <c r="Z50" s="10">
        <v>72</v>
      </c>
      <c r="AA50" s="10">
        <v>0</v>
      </c>
      <c r="AB50" s="10">
        <v>-1822.52</v>
      </c>
      <c r="AC50" s="10">
        <v>0</v>
      </c>
      <c r="AD50" s="10">
        <v>2.75</v>
      </c>
      <c r="AE50" s="10">
        <v>-170.74</v>
      </c>
      <c r="AF50" s="10">
        <v>71</v>
      </c>
      <c r="AG50" s="33">
        <v>-2.1466557436231826E-2</v>
      </c>
      <c r="AH50" s="33">
        <v>1.0152284263959392E-2</v>
      </c>
      <c r="AI50" s="33">
        <v>-0.2829020385798085</v>
      </c>
      <c r="AJ50" s="33">
        <v>-6.5217391304347824E-2</v>
      </c>
      <c r="AK50" s="33">
        <v>-0.10602203151972778</v>
      </c>
      <c r="AL50" s="33">
        <v>0.15076228119706384</v>
      </c>
      <c r="AM50" s="1">
        <v>1516</v>
      </c>
      <c r="AN50" s="1">
        <v>859</v>
      </c>
      <c r="AO50" s="1">
        <v>633</v>
      </c>
      <c r="AP50" s="1">
        <v>41</v>
      </c>
      <c r="AQ50" s="1">
        <v>137</v>
      </c>
      <c r="AR50" s="1">
        <v>72</v>
      </c>
      <c r="AS50" s="1">
        <v>71</v>
      </c>
      <c r="AT50" s="1">
        <v>0</v>
      </c>
      <c r="AU50">
        <v>4534</v>
      </c>
      <c r="AV50">
        <v>2798</v>
      </c>
      <c r="AW50">
        <v>1942</v>
      </c>
      <c r="AX50">
        <v>3433</v>
      </c>
      <c r="AY50">
        <v>3385</v>
      </c>
      <c r="AZ50">
        <v>1982</v>
      </c>
      <c r="BA50" s="13"/>
    </row>
    <row r="51" spans="1:53" x14ac:dyDescent="0.3">
      <c r="A51" s="1">
        <v>49</v>
      </c>
      <c r="B51" s="10">
        <v>0</v>
      </c>
      <c r="C51" s="10" t="s">
        <v>60</v>
      </c>
      <c r="D51" s="15">
        <v>2</v>
      </c>
      <c r="E51" s="10">
        <v>0</v>
      </c>
      <c r="F51" s="10">
        <v>4</v>
      </c>
      <c r="G51" s="10">
        <v>0</v>
      </c>
      <c r="H51" s="10">
        <v>1</v>
      </c>
      <c r="I51" s="10">
        <v>0</v>
      </c>
      <c r="J51" s="10">
        <v>0</v>
      </c>
      <c r="K51" s="1">
        <v>0</v>
      </c>
      <c r="L51" s="1">
        <v>0</v>
      </c>
      <c r="N51" s="130">
        <v>45484</v>
      </c>
      <c r="O51" s="10">
        <v>16.72</v>
      </c>
      <c r="P51" s="10">
        <v>4424.1099999999997</v>
      </c>
      <c r="Q51" s="10">
        <v>726</v>
      </c>
      <c r="R51" s="10">
        <v>2.08</v>
      </c>
      <c r="S51" s="10">
        <v>11520.560000000001</v>
      </c>
      <c r="T51" s="10">
        <v>39</v>
      </c>
      <c r="U51" s="10">
        <v>23.68</v>
      </c>
      <c r="V51" s="10">
        <v>5346.0599999999995</v>
      </c>
      <c r="W51" s="10">
        <v>581</v>
      </c>
      <c r="AG51" s="33">
        <v>0</v>
      </c>
      <c r="AH51" s="33">
        <v>0</v>
      </c>
      <c r="AI51" s="33">
        <v>0</v>
      </c>
      <c r="AJ51" s="33">
        <v>0</v>
      </c>
      <c r="AK51" s="33">
        <v>0</v>
      </c>
      <c r="AL51" s="33">
        <v>0</v>
      </c>
      <c r="AM51" s="1">
        <v>1733</v>
      </c>
      <c r="AN51" s="1">
        <v>726</v>
      </c>
      <c r="AO51" s="1">
        <v>581</v>
      </c>
      <c r="AP51" s="1">
        <v>39</v>
      </c>
      <c r="AU51">
        <v>3597</v>
      </c>
      <c r="AV51">
        <v>1858</v>
      </c>
      <c r="AW51">
        <v>1837</v>
      </c>
      <c r="BA51" s="13"/>
    </row>
    <row r="52" spans="1:53" x14ac:dyDescent="0.3">
      <c r="A52" s="1">
        <v>50</v>
      </c>
      <c r="B52" s="10">
        <v>1</v>
      </c>
      <c r="C52" s="10" t="s">
        <v>61</v>
      </c>
      <c r="D52" s="15">
        <v>2</v>
      </c>
      <c r="E52" s="10">
        <v>0</v>
      </c>
      <c r="F52" s="10">
        <v>1</v>
      </c>
      <c r="G52" s="10">
        <v>0</v>
      </c>
      <c r="H52" s="10">
        <v>1</v>
      </c>
      <c r="I52" s="10">
        <v>0</v>
      </c>
      <c r="J52" s="10">
        <v>0</v>
      </c>
      <c r="K52" s="1">
        <v>120</v>
      </c>
      <c r="L52" s="1">
        <v>1</v>
      </c>
      <c r="N52" s="130">
        <v>45484</v>
      </c>
      <c r="O52" s="10">
        <v>17.8</v>
      </c>
      <c r="P52" s="10">
        <v>788.26000000000022</v>
      </c>
      <c r="Q52" s="10">
        <v>846</v>
      </c>
      <c r="R52" s="10">
        <v>2.78</v>
      </c>
      <c r="S52" s="10">
        <v>5496.82</v>
      </c>
      <c r="T52" s="10">
        <v>53</v>
      </c>
      <c r="U52" s="10">
        <v>21.79</v>
      </c>
      <c r="V52" s="10">
        <v>1234.8999999999996</v>
      </c>
      <c r="W52" s="10">
        <v>615</v>
      </c>
      <c r="X52" s="10">
        <v>11.73</v>
      </c>
      <c r="Y52" s="10">
        <v>240.66000000000008</v>
      </c>
      <c r="Z52" s="10">
        <v>460</v>
      </c>
      <c r="AA52" s="10">
        <v>0.56999999999999995</v>
      </c>
      <c r="AB52" s="10">
        <v>3320.36</v>
      </c>
      <c r="AC52" s="10">
        <v>9</v>
      </c>
      <c r="AD52" s="10">
        <v>19.260000000000002</v>
      </c>
      <c r="AE52" s="10">
        <v>-325.52</v>
      </c>
      <c r="AF52" s="10">
        <v>450</v>
      </c>
      <c r="AG52" s="33">
        <v>0.30530535610077897</v>
      </c>
      <c r="AH52" s="33">
        <v>5.0028105677346828E-2</v>
      </c>
      <c r="AI52" s="33">
        <v>0.60405106952747234</v>
      </c>
      <c r="AJ52" s="33">
        <v>2.304147465437785E-2</v>
      </c>
      <c r="AK52" s="33">
        <v>-0.26360029152158077</v>
      </c>
      <c r="AL52" s="33">
        <v>0.90557129367327682</v>
      </c>
      <c r="AM52" s="1">
        <v>1435</v>
      </c>
      <c r="AN52" s="1">
        <v>846</v>
      </c>
      <c r="AO52" s="1">
        <v>615</v>
      </c>
      <c r="AP52" s="1">
        <v>53</v>
      </c>
      <c r="AQ52" s="1">
        <v>786</v>
      </c>
      <c r="AR52" s="1">
        <v>460</v>
      </c>
      <c r="AS52" s="1">
        <v>450</v>
      </c>
      <c r="AT52" s="1">
        <v>9</v>
      </c>
      <c r="AU52">
        <v>3872</v>
      </c>
      <c r="AV52">
        <v>2187</v>
      </c>
      <c r="AW52">
        <v>1851</v>
      </c>
      <c r="AX52">
        <v>2890</v>
      </c>
      <c r="AY52">
        <v>2801</v>
      </c>
      <c r="AZ52">
        <v>1903</v>
      </c>
      <c r="BA52" s="13"/>
    </row>
    <row r="53" spans="1:53" x14ac:dyDescent="0.3">
      <c r="A53" s="1">
        <v>51</v>
      </c>
      <c r="B53" s="10">
        <v>1</v>
      </c>
      <c r="C53" s="10" t="s">
        <v>61</v>
      </c>
      <c r="D53" s="15">
        <v>1</v>
      </c>
      <c r="E53" s="10">
        <v>0</v>
      </c>
      <c r="F53" s="10">
        <v>2</v>
      </c>
      <c r="G53" s="10">
        <v>0</v>
      </c>
      <c r="H53" s="10">
        <v>1</v>
      </c>
      <c r="I53" s="10">
        <v>0</v>
      </c>
      <c r="J53" s="10">
        <v>0</v>
      </c>
      <c r="K53" s="1">
        <v>1437</v>
      </c>
      <c r="L53" s="1">
        <v>1</v>
      </c>
      <c r="N53" s="130">
        <v>45484</v>
      </c>
      <c r="O53" s="10">
        <v>14.26</v>
      </c>
      <c r="P53" s="10">
        <v>-215.56999999999971</v>
      </c>
      <c r="Q53" s="10">
        <v>679</v>
      </c>
      <c r="R53" s="10">
        <v>1.52</v>
      </c>
      <c r="S53" s="10">
        <v>4586.0800000000008</v>
      </c>
      <c r="T53" s="10">
        <v>30</v>
      </c>
      <c r="U53" s="10">
        <v>17.55</v>
      </c>
      <c r="V53" s="10">
        <v>32.520000000000437</v>
      </c>
      <c r="W53" s="10">
        <v>486</v>
      </c>
      <c r="X53" s="10">
        <v>1.43</v>
      </c>
      <c r="Y53" s="10">
        <v>407.18000000000029</v>
      </c>
      <c r="Z53" s="10">
        <v>56</v>
      </c>
      <c r="AA53" s="10">
        <v>7.0000000000000007E-2</v>
      </c>
      <c r="AB53" s="10">
        <v>5017.1899999999996</v>
      </c>
      <c r="AC53" s="10">
        <v>1</v>
      </c>
      <c r="AD53" s="10">
        <v>2.08</v>
      </c>
      <c r="AE53" s="10">
        <v>146.72000000000003</v>
      </c>
      <c r="AF53" s="10">
        <v>50</v>
      </c>
      <c r="AG53" s="33">
        <v>-1.8888528088324017</v>
      </c>
      <c r="AH53" s="33">
        <v>9.1228070175438606E-3</v>
      </c>
      <c r="AI53" s="33">
        <v>1.0940040295851792</v>
      </c>
      <c r="AJ53" s="33">
        <v>0</v>
      </c>
      <c r="AK53" s="33">
        <v>4.5116851168511092</v>
      </c>
      <c r="AL53" s="33">
        <v>0.11695906432748537</v>
      </c>
      <c r="AM53" s="1">
        <v>1069</v>
      </c>
      <c r="AN53" s="1">
        <v>679</v>
      </c>
      <c r="AO53" s="1">
        <v>486</v>
      </c>
      <c r="AP53" s="1">
        <v>30</v>
      </c>
      <c r="AQ53" s="1">
        <v>118</v>
      </c>
      <c r="AR53" s="1">
        <v>56</v>
      </c>
      <c r="AS53" s="1">
        <v>50</v>
      </c>
      <c r="AT53" s="1">
        <v>1</v>
      </c>
      <c r="AU53">
        <v>4053</v>
      </c>
      <c r="AV53">
        <v>2264</v>
      </c>
      <c r="AW53">
        <v>1943</v>
      </c>
      <c r="AX53">
        <v>2813</v>
      </c>
      <c r="AY53">
        <v>2740</v>
      </c>
      <c r="AZ53">
        <v>1973</v>
      </c>
      <c r="BA53" s="13"/>
    </row>
    <row r="54" spans="1:53" x14ac:dyDescent="0.3">
      <c r="A54" s="1">
        <v>52</v>
      </c>
      <c r="B54" s="10">
        <v>1</v>
      </c>
      <c r="C54" s="10" t="s">
        <v>61</v>
      </c>
      <c r="D54" s="15">
        <v>2</v>
      </c>
      <c r="E54" s="10">
        <v>0</v>
      </c>
      <c r="F54" s="10">
        <v>2</v>
      </c>
      <c r="G54" s="10">
        <v>0</v>
      </c>
      <c r="H54" s="10">
        <v>1</v>
      </c>
      <c r="I54" s="10">
        <v>0</v>
      </c>
      <c r="J54" s="10">
        <v>0</v>
      </c>
      <c r="K54" s="1">
        <v>3032</v>
      </c>
      <c r="L54" s="1">
        <v>1</v>
      </c>
      <c r="N54" s="130">
        <v>45484</v>
      </c>
      <c r="O54" s="10">
        <v>20.64</v>
      </c>
      <c r="P54" s="10">
        <v>8004.55</v>
      </c>
      <c r="Q54" s="10">
        <v>1025</v>
      </c>
      <c r="R54" s="10">
        <v>3.16</v>
      </c>
      <c r="S54" s="10">
        <v>6936.8</v>
      </c>
      <c r="T54" s="10">
        <v>62</v>
      </c>
      <c r="U54" s="10">
        <v>28.57</v>
      </c>
      <c r="V54" s="10">
        <v>8104.4800000000005</v>
      </c>
      <c r="W54" s="10">
        <v>851</v>
      </c>
      <c r="AG54" s="33">
        <v>0</v>
      </c>
      <c r="AH54" s="33">
        <v>0</v>
      </c>
      <c r="AI54" s="33">
        <v>0</v>
      </c>
      <c r="AJ54" s="33">
        <v>0</v>
      </c>
      <c r="AK54" s="33">
        <v>0</v>
      </c>
      <c r="AL54" s="33">
        <v>0</v>
      </c>
      <c r="AM54" s="1">
        <v>2582</v>
      </c>
      <c r="AN54" s="1">
        <v>1025</v>
      </c>
      <c r="AO54" s="1">
        <v>851</v>
      </c>
      <c r="AP54" s="1">
        <v>62</v>
      </c>
      <c r="AU54">
        <v>3918</v>
      </c>
      <c r="AV54">
        <v>2121</v>
      </c>
      <c r="AW54">
        <v>1897</v>
      </c>
      <c r="BA54" s="13"/>
    </row>
    <row r="55" spans="1:53" x14ac:dyDescent="0.3">
      <c r="A55" s="1">
        <v>53</v>
      </c>
      <c r="B55" s="10">
        <v>1</v>
      </c>
      <c r="C55" s="10" t="s">
        <v>61</v>
      </c>
      <c r="D55" s="15">
        <v>2</v>
      </c>
      <c r="E55" s="10">
        <v>0</v>
      </c>
      <c r="F55" s="10">
        <v>3</v>
      </c>
      <c r="G55" s="10">
        <v>0</v>
      </c>
      <c r="H55" s="10">
        <v>1</v>
      </c>
      <c r="I55" s="10">
        <v>56</v>
      </c>
      <c r="J55" s="10">
        <v>1</v>
      </c>
      <c r="K55" s="1">
        <v>2332</v>
      </c>
      <c r="L55" s="1">
        <v>1</v>
      </c>
      <c r="N55" s="130">
        <v>45484</v>
      </c>
      <c r="O55" s="10">
        <v>19.11</v>
      </c>
      <c r="P55" s="10">
        <v>3927.1000000000013</v>
      </c>
      <c r="Q55" s="10">
        <v>893</v>
      </c>
      <c r="R55" s="10">
        <v>2.59</v>
      </c>
      <c r="S55" s="10">
        <v>15221.59</v>
      </c>
      <c r="T55" s="10">
        <v>49</v>
      </c>
      <c r="U55" s="10">
        <v>26.21</v>
      </c>
      <c r="V55" s="10">
        <v>4517.3999999999996</v>
      </c>
      <c r="W55" s="10">
        <v>723</v>
      </c>
      <c r="X55" s="10">
        <v>1.5</v>
      </c>
      <c r="Y55" s="10">
        <v>93.420000000000073</v>
      </c>
      <c r="Z55" s="10">
        <v>57</v>
      </c>
      <c r="AA55" s="10">
        <v>0</v>
      </c>
      <c r="AB55" s="10">
        <v>-1792.99</v>
      </c>
      <c r="AC55" s="10">
        <v>0</v>
      </c>
      <c r="AD55" s="10">
        <v>2.44</v>
      </c>
      <c r="AE55" s="10">
        <v>-20.200000000000045</v>
      </c>
      <c r="AF55" s="10">
        <v>57</v>
      </c>
      <c r="AG55" s="33">
        <v>2.378854625550662E-2</v>
      </c>
      <c r="AH55" s="33">
        <v>6.8062827225130896E-3</v>
      </c>
      <c r="AI55" s="33">
        <v>-0.1177925564937697</v>
      </c>
      <c r="AJ55" s="33">
        <v>-4.7297297297297307E-2</v>
      </c>
      <c r="AK55" s="33">
        <v>-4.4715987072209782E-3</v>
      </c>
      <c r="AL55" s="33">
        <v>9.4023904382470103E-2</v>
      </c>
      <c r="AM55" s="1">
        <v>1975</v>
      </c>
      <c r="AN55" s="1">
        <v>893</v>
      </c>
      <c r="AO55" s="1">
        <v>723</v>
      </c>
      <c r="AP55" s="1">
        <v>49</v>
      </c>
      <c r="AQ55" s="1">
        <v>119</v>
      </c>
      <c r="AR55" s="1">
        <v>57</v>
      </c>
      <c r="AS55" s="1">
        <v>57</v>
      </c>
      <c r="AT55" s="1">
        <v>0</v>
      </c>
      <c r="AU55">
        <v>3753</v>
      </c>
      <c r="AV55">
        <v>2025</v>
      </c>
      <c r="AW55">
        <v>1841</v>
      </c>
      <c r="AX55">
        <v>2790</v>
      </c>
      <c r="AY55">
        <v>2738</v>
      </c>
      <c r="AZ55">
        <v>1892</v>
      </c>
      <c r="BA55" s="13"/>
    </row>
    <row r="56" spans="1:53" x14ac:dyDescent="0.3">
      <c r="A56" s="1">
        <v>54</v>
      </c>
      <c r="B56" s="10">
        <v>1</v>
      </c>
      <c r="C56" s="10" t="s">
        <v>61</v>
      </c>
      <c r="D56" s="15">
        <v>2</v>
      </c>
      <c r="E56" s="10">
        <v>0</v>
      </c>
      <c r="F56" s="10">
        <v>4</v>
      </c>
      <c r="G56" s="10">
        <v>0</v>
      </c>
      <c r="H56" s="10">
        <v>1</v>
      </c>
      <c r="I56" s="10">
        <v>0</v>
      </c>
      <c r="J56" s="10">
        <v>0</v>
      </c>
      <c r="K56" s="10">
        <v>56</v>
      </c>
      <c r="L56" s="10">
        <v>1</v>
      </c>
      <c r="N56" s="130">
        <v>45484</v>
      </c>
      <c r="O56" s="10">
        <v>13.75</v>
      </c>
      <c r="P56" s="10">
        <v>-629.83999999999924</v>
      </c>
      <c r="Q56" s="10">
        <v>631</v>
      </c>
      <c r="R56" s="10">
        <v>0.72</v>
      </c>
      <c r="S56" s="10">
        <v>2246.3999999999996</v>
      </c>
      <c r="T56" s="10">
        <v>14</v>
      </c>
      <c r="U56" s="10">
        <v>16.91</v>
      </c>
      <c r="V56" s="10">
        <v>660.89999999999964</v>
      </c>
      <c r="W56" s="10">
        <v>443</v>
      </c>
      <c r="X56" s="10">
        <v>1.34</v>
      </c>
      <c r="Y56" s="10">
        <v>778.11000000000013</v>
      </c>
      <c r="Z56" s="10">
        <v>47</v>
      </c>
      <c r="AA56" s="10">
        <v>0.14000000000000001</v>
      </c>
      <c r="AB56" s="10">
        <v>7807.13</v>
      </c>
      <c r="AC56" s="10">
        <v>2</v>
      </c>
      <c r="AD56" s="10">
        <v>2.11</v>
      </c>
      <c r="AE56" s="10">
        <v>411.3900000000001</v>
      </c>
      <c r="AF56" s="10">
        <v>44</v>
      </c>
      <c r="AG56" s="33">
        <v>-1.2354089927600678</v>
      </c>
      <c r="AH56" s="33">
        <v>9.4614264919941782E-3</v>
      </c>
      <c r="AI56" s="33">
        <v>3.47539618945869</v>
      </c>
      <c r="AJ56" s="33">
        <v>0.1521739130434783</v>
      </c>
      <c r="AK56" s="33">
        <v>0.62246935996368635</v>
      </c>
      <c r="AL56" s="33">
        <v>0.12192192192192192</v>
      </c>
      <c r="AM56" s="1">
        <v>863</v>
      </c>
      <c r="AN56" s="1">
        <v>631</v>
      </c>
      <c r="AO56" s="1">
        <v>443</v>
      </c>
      <c r="AP56" s="1">
        <v>14</v>
      </c>
      <c r="AQ56" s="1">
        <v>118</v>
      </c>
      <c r="AR56" s="1">
        <v>47</v>
      </c>
      <c r="AS56" s="1">
        <v>44</v>
      </c>
      <c r="AT56" s="1">
        <v>2</v>
      </c>
      <c r="AU56">
        <v>3916</v>
      </c>
      <c r="AV56">
        <v>2152</v>
      </c>
      <c r="AW56">
        <v>1935</v>
      </c>
      <c r="AX56">
        <v>2664</v>
      </c>
      <c r="AY56">
        <v>2599</v>
      </c>
      <c r="AZ56">
        <v>1949</v>
      </c>
      <c r="BA56" s="13"/>
    </row>
    <row r="57" spans="1:53" x14ac:dyDescent="0.3">
      <c r="A57" s="1">
        <v>55</v>
      </c>
      <c r="B57" s="10">
        <v>1</v>
      </c>
      <c r="C57" s="10" t="s">
        <v>61</v>
      </c>
      <c r="D57" s="15">
        <v>1</v>
      </c>
      <c r="E57" s="10">
        <v>1</v>
      </c>
      <c r="F57" s="10">
        <v>4</v>
      </c>
      <c r="G57" s="10">
        <v>0</v>
      </c>
      <c r="H57" s="10">
        <v>0</v>
      </c>
      <c r="I57" s="10">
        <v>0</v>
      </c>
      <c r="J57" s="10">
        <v>0</v>
      </c>
      <c r="K57" s="1">
        <v>0</v>
      </c>
      <c r="L57" s="1">
        <v>0</v>
      </c>
      <c r="N57" s="130">
        <v>45484</v>
      </c>
      <c r="O57" s="10">
        <v>2.5099999999999998</v>
      </c>
      <c r="P57" s="10">
        <v>-1651.1599999999999</v>
      </c>
      <c r="Q57" s="10">
        <v>113</v>
      </c>
      <c r="R57" s="10">
        <v>0.32</v>
      </c>
      <c r="S57" s="10">
        <v>1395.1599999999999</v>
      </c>
      <c r="T57" s="10">
        <v>6</v>
      </c>
      <c r="U57" s="10">
        <v>2.0099999999999998</v>
      </c>
      <c r="V57" s="10">
        <v>-219.96000000000004</v>
      </c>
      <c r="W57" s="10">
        <v>53</v>
      </c>
      <c r="X57" s="10">
        <v>0.71</v>
      </c>
      <c r="Y57" s="10">
        <v>-398.7199999999998</v>
      </c>
      <c r="Z57" s="10">
        <v>25</v>
      </c>
      <c r="AA57" s="10">
        <v>0</v>
      </c>
      <c r="AB57" s="10">
        <v>-1740.09</v>
      </c>
      <c r="AC57" s="10">
        <v>0</v>
      </c>
      <c r="AD57" s="10">
        <v>1.1299999999999999</v>
      </c>
      <c r="AE57" s="10">
        <v>-459.43999999999983</v>
      </c>
      <c r="AF57" s="10">
        <v>25</v>
      </c>
      <c r="AG57" s="33">
        <v>0.24147871799219933</v>
      </c>
      <c r="AH57" s="33">
        <v>2.8000000000000004E-2</v>
      </c>
      <c r="AI57" s="33">
        <v>-1.2472332922388831</v>
      </c>
      <c r="AJ57" s="33">
        <v>-0.14814814814814814</v>
      </c>
      <c r="AK57" s="33">
        <v>2.088743407892343</v>
      </c>
      <c r="AL57" s="33">
        <v>0.5357142857142857</v>
      </c>
      <c r="AM57" s="1">
        <v>142</v>
      </c>
      <c r="AN57" s="1">
        <v>113</v>
      </c>
      <c r="AO57" s="1">
        <v>53</v>
      </c>
      <c r="AP57" s="1">
        <v>6</v>
      </c>
      <c r="AQ57" s="1">
        <v>61</v>
      </c>
      <c r="AR57" s="1">
        <v>25</v>
      </c>
      <c r="AS57" s="1">
        <v>25</v>
      </c>
      <c r="AT57" s="1">
        <v>0</v>
      </c>
      <c r="AU57">
        <v>4377</v>
      </c>
      <c r="AV57">
        <v>2576</v>
      </c>
      <c r="AW57">
        <v>1856</v>
      </c>
      <c r="AX57">
        <v>2648</v>
      </c>
      <c r="AY57">
        <v>2601</v>
      </c>
      <c r="AZ57">
        <v>1860</v>
      </c>
      <c r="BA57" s="13"/>
    </row>
    <row r="58" spans="1:53" x14ac:dyDescent="0.3">
      <c r="A58" s="1">
        <v>56</v>
      </c>
      <c r="B58" s="10">
        <v>2</v>
      </c>
      <c r="C58" s="10" t="s">
        <v>62</v>
      </c>
      <c r="D58" s="15">
        <v>1</v>
      </c>
      <c r="E58" s="10">
        <v>1</v>
      </c>
      <c r="F58" s="10">
        <v>1</v>
      </c>
      <c r="G58" s="10">
        <v>0</v>
      </c>
      <c r="H58" s="10">
        <v>1</v>
      </c>
      <c r="I58" s="10">
        <v>0</v>
      </c>
      <c r="J58" s="10">
        <v>0</v>
      </c>
      <c r="K58" s="1">
        <v>434</v>
      </c>
      <c r="L58" s="1">
        <v>1</v>
      </c>
      <c r="N58" s="130">
        <v>45484</v>
      </c>
      <c r="O58" s="10">
        <v>16.12</v>
      </c>
      <c r="P58" s="10">
        <v>1853.0300000000007</v>
      </c>
      <c r="Q58" s="10">
        <v>838</v>
      </c>
      <c r="R58" s="10">
        <v>2.4300000000000002</v>
      </c>
      <c r="S58" s="10">
        <v>6291.31</v>
      </c>
      <c r="T58" s="10">
        <v>45</v>
      </c>
      <c r="U58" s="10">
        <v>18.91</v>
      </c>
      <c r="V58" s="10">
        <v>2373.6899999999996</v>
      </c>
      <c r="W58" s="10">
        <v>629</v>
      </c>
      <c r="AG58" s="33">
        <v>0</v>
      </c>
      <c r="AH58" s="33">
        <v>0</v>
      </c>
      <c r="AI58" s="33">
        <v>0</v>
      </c>
      <c r="AJ58" s="33">
        <v>0</v>
      </c>
      <c r="AK58" s="33">
        <v>0</v>
      </c>
      <c r="AL58" s="33">
        <v>0</v>
      </c>
      <c r="AM58" s="1">
        <v>1648</v>
      </c>
      <c r="AN58" s="1">
        <v>838</v>
      </c>
      <c r="AO58" s="1">
        <v>629</v>
      </c>
      <c r="AP58" s="1">
        <v>45</v>
      </c>
      <c r="AU58">
        <v>4325</v>
      </c>
      <c r="AV58">
        <v>2686</v>
      </c>
      <c r="AW58">
        <v>1803</v>
      </c>
      <c r="BA58" s="13"/>
    </row>
    <row r="59" spans="1:53" x14ac:dyDescent="0.3">
      <c r="A59" s="1">
        <v>57</v>
      </c>
      <c r="B59" s="10">
        <v>2</v>
      </c>
      <c r="C59" s="10" t="s">
        <v>62</v>
      </c>
      <c r="D59" s="15">
        <v>1</v>
      </c>
      <c r="E59" s="10">
        <v>1</v>
      </c>
      <c r="F59" s="10">
        <v>2</v>
      </c>
      <c r="G59" s="10">
        <v>0</v>
      </c>
      <c r="H59" s="10">
        <v>1</v>
      </c>
      <c r="I59" s="10">
        <v>0</v>
      </c>
      <c r="J59" s="10">
        <v>0</v>
      </c>
      <c r="K59" s="1">
        <v>557</v>
      </c>
      <c r="L59" s="1">
        <v>1</v>
      </c>
      <c r="N59" s="130">
        <v>45484</v>
      </c>
      <c r="O59" s="10">
        <v>28.96</v>
      </c>
      <c r="P59" s="10">
        <v>533.82000000000062</v>
      </c>
      <c r="Q59" s="10">
        <v>1050</v>
      </c>
      <c r="R59" s="10">
        <v>4.0599999999999996</v>
      </c>
      <c r="S59" s="10">
        <v>7775.52</v>
      </c>
      <c r="T59" s="10">
        <v>60</v>
      </c>
      <c r="U59" s="10">
        <v>32.130000000000003</v>
      </c>
      <c r="V59" s="10">
        <v>5049.0400000000009</v>
      </c>
      <c r="W59" s="10">
        <v>685</v>
      </c>
      <c r="X59" s="10">
        <v>2.61</v>
      </c>
      <c r="Y59" s="10">
        <v>178.85000000000014</v>
      </c>
      <c r="Z59" s="10">
        <v>110</v>
      </c>
      <c r="AA59" s="10">
        <v>0</v>
      </c>
      <c r="AB59" s="10">
        <v>-1866.39</v>
      </c>
      <c r="AC59" s="10">
        <v>0</v>
      </c>
      <c r="AD59" s="10">
        <v>4.42</v>
      </c>
      <c r="AE59" s="10">
        <v>-19.950000000000045</v>
      </c>
      <c r="AF59" s="10">
        <v>106</v>
      </c>
      <c r="AG59" s="33">
        <v>0.33503802779963271</v>
      </c>
      <c r="AH59" s="33">
        <v>7.2538860103626944E-3</v>
      </c>
      <c r="AI59" s="33">
        <v>-0.24003410704364467</v>
      </c>
      <c r="AJ59" s="33">
        <v>-8.8709677419354857E-2</v>
      </c>
      <c r="AK59" s="33">
        <v>-3.9512461774911748E-3</v>
      </c>
      <c r="AL59" s="33">
        <v>0.14807233026270897</v>
      </c>
      <c r="AM59" s="1">
        <v>4696</v>
      </c>
      <c r="AN59" s="1">
        <v>1050</v>
      </c>
      <c r="AO59" s="1">
        <v>685</v>
      </c>
      <c r="AP59" s="1">
        <v>60</v>
      </c>
      <c r="AQ59" s="1">
        <v>183</v>
      </c>
      <c r="AR59" s="1">
        <v>110</v>
      </c>
      <c r="AS59" s="1">
        <v>106</v>
      </c>
      <c r="AT59" s="1">
        <v>0</v>
      </c>
      <c r="AU59">
        <v>2493</v>
      </c>
      <c r="AV59">
        <v>1415</v>
      </c>
      <c r="AW59">
        <v>1416</v>
      </c>
      <c r="AX59">
        <v>2133</v>
      </c>
      <c r="AY59">
        <v>2117</v>
      </c>
      <c r="AZ59">
        <v>1478</v>
      </c>
      <c r="BA59" s="13"/>
    </row>
    <row r="60" spans="1:53" x14ac:dyDescent="0.3">
      <c r="A60" s="1">
        <v>58</v>
      </c>
      <c r="B60" s="10">
        <v>2</v>
      </c>
      <c r="C60" s="10" t="s">
        <v>62</v>
      </c>
      <c r="D60" s="15">
        <v>1</v>
      </c>
      <c r="E60" s="10">
        <v>1</v>
      </c>
      <c r="F60" s="10">
        <v>2</v>
      </c>
      <c r="G60" s="10">
        <v>0</v>
      </c>
      <c r="H60" s="10">
        <v>1</v>
      </c>
      <c r="I60" s="10">
        <v>0</v>
      </c>
      <c r="J60" s="10">
        <v>0</v>
      </c>
      <c r="K60" s="1">
        <v>176</v>
      </c>
      <c r="L60" s="1">
        <v>1</v>
      </c>
      <c r="N60" s="130">
        <v>45484</v>
      </c>
      <c r="O60" s="10">
        <v>6.62</v>
      </c>
      <c r="P60" s="10">
        <v>-1483.2299999999996</v>
      </c>
      <c r="Q60" s="10">
        <v>314</v>
      </c>
      <c r="R60" s="10">
        <v>1.42</v>
      </c>
      <c r="S60" s="10">
        <v>4912.579999999999</v>
      </c>
      <c r="T60" s="10">
        <v>29</v>
      </c>
      <c r="U60" s="10">
        <v>6.18</v>
      </c>
      <c r="V60" s="10">
        <v>-418.11999999999989</v>
      </c>
      <c r="W60" s="10">
        <v>166</v>
      </c>
      <c r="X60" s="10">
        <v>1.42</v>
      </c>
      <c r="Y60" s="10">
        <v>-270.37999999999988</v>
      </c>
      <c r="Z60" s="10">
        <v>54</v>
      </c>
      <c r="AA60" s="10">
        <v>0</v>
      </c>
      <c r="AB60" s="10">
        <v>-1892.97</v>
      </c>
      <c r="AC60" s="10">
        <v>0</v>
      </c>
      <c r="AD60" s="10">
        <v>2.38</v>
      </c>
      <c r="AE60" s="10">
        <v>-483.98</v>
      </c>
      <c r="AF60" s="10">
        <v>54</v>
      </c>
      <c r="AG60" s="33">
        <v>0.18229135063341489</v>
      </c>
      <c r="AH60" s="33">
        <v>2.2692889561270801E-2</v>
      </c>
      <c r="AI60" s="33">
        <v>-0.38533112946761183</v>
      </c>
      <c r="AJ60" s="33">
        <v>-6.8702290076335881E-2</v>
      </c>
      <c r="AK60" s="33">
        <v>1.1575145891131735</v>
      </c>
      <c r="AL60" s="33">
        <v>0.37891268533772654</v>
      </c>
      <c r="AM60" s="1">
        <v>371</v>
      </c>
      <c r="AN60" s="1">
        <v>314</v>
      </c>
      <c r="AO60" s="1">
        <v>166</v>
      </c>
      <c r="AP60" s="1">
        <v>29</v>
      </c>
      <c r="AQ60" s="1">
        <v>130</v>
      </c>
      <c r="AR60" s="1">
        <v>54</v>
      </c>
      <c r="AS60" s="1">
        <v>54</v>
      </c>
      <c r="AT60" s="1">
        <v>0</v>
      </c>
      <c r="AU60">
        <v>4399</v>
      </c>
      <c r="AV60">
        <v>2505</v>
      </c>
      <c r="AW60">
        <v>2017</v>
      </c>
      <c r="AX60">
        <v>2733</v>
      </c>
      <c r="AY60">
        <v>2661</v>
      </c>
      <c r="AZ60">
        <v>2043</v>
      </c>
      <c r="BA60" s="13"/>
    </row>
    <row r="61" spans="1:53" x14ac:dyDescent="0.3">
      <c r="A61" s="1">
        <v>59</v>
      </c>
      <c r="B61" s="10">
        <v>2</v>
      </c>
      <c r="C61" s="10" t="s">
        <v>62</v>
      </c>
      <c r="D61" s="15">
        <v>1</v>
      </c>
      <c r="E61" s="10">
        <v>0</v>
      </c>
      <c r="F61" s="10">
        <v>4</v>
      </c>
      <c r="G61" s="10">
        <v>0</v>
      </c>
      <c r="H61" s="10">
        <v>1</v>
      </c>
      <c r="I61" s="10">
        <v>0</v>
      </c>
      <c r="J61" s="10">
        <v>0</v>
      </c>
      <c r="K61" s="1">
        <v>120</v>
      </c>
      <c r="L61" s="1">
        <v>1</v>
      </c>
      <c r="N61" s="130">
        <v>45484</v>
      </c>
      <c r="O61" s="10">
        <v>7.47</v>
      </c>
      <c r="P61" s="10">
        <v>78.050000000000182</v>
      </c>
      <c r="Q61" s="10">
        <v>343</v>
      </c>
      <c r="R61" s="10">
        <v>1.1399999999999999</v>
      </c>
      <c r="S61" s="10">
        <v>2574.4699999999993</v>
      </c>
      <c r="T61" s="10">
        <v>21</v>
      </c>
      <c r="U61" s="10">
        <v>8.25</v>
      </c>
      <c r="V61" s="10">
        <v>723.51999999999953</v>
      </c>
      <c r="W61" s="10">
        <v>226</v>
      </c>
      <c r="X61" s="10">
        <v>1.39</v>
      </c>
      <c r="Y61" s="10">
        <v>9.4800000000000182</v>
      </c>
      <c r="Z61" s="10">
        <v>56</v>
      </c>
      <c r="AA61" s="10">
        <v>0</v>
      </c>
      <c r="AB61" s="10">
        <v>-1788.75</v>
      </c>
      <c r="AC61" s="10">
        <v>0</v>
      </c>
      <c r="AD61" s="10">
        <v>2.41</v>
      </c>
      <c r="AE61" s="10">
        <v>-99.900000000000091</v>
      </c>
      <c r="AF61" s="10">
        <v>56</v>
      </c>
      <c r="AG61" s="33">
        <v>0.12146060217809092</v>
      </c>
      <c r="AH61" s="33">
        <v>1.6085790884718499E-2</v>
      </c>
      <c r="AI61" s="33">
        <v>-0.69480320221249436</v>
      </c>
      <c r="AJ61" s="33">
        <v>-8.6419753086419776E-2</v>
      </c>
      <c r="AK61" s="33">
        <v>-0.13807496682883702</v>
      </c>
      <c r="AL61" s="33">
        <v>0.29419191919191923</v>
      </c>
      <c r="AM61" s="1">
        <v>614</v>
      </c>
      <c r="AN61" s="1">
        <v>343</v>
      </c>
      <c r="AO61" s="1">
        <v>226</v>
      </c>
      <c r="AP61" s="1">
        <v>21</v>
      </c>
      <c r="AQ61" s="1">
        <v>103</v>
      </c>
      <c r="AR61" s="1">
        <v>56</v>
      </c>
      <c r="AS61" s="1">
        <v>56</v>
      </c>
      <c r="AT61" s="1">
        <v>0</v>
      </c>
      <c r="AU61">
        <v>4230</v>
      </c>
      <c r="AV61">
        <v>2506</v>
      </c>
      <c r="AW61">
        <v>1814</v>
      </c>
      <c r="AX61">
        <v>2800</v>
      </c>
      <c r="AY61">
        <v>2719</v>
      </c>
      <c r="AZ61">
        <v>1834</v>
      </c>
      <c r="BA61" s="13"/>
    </row>
    <row r="62" spans="1:53" x14ac:dyDescent="0.3">
      <c r="A62" s="1">
        <v>60</v>
      </c>
      <c r="B62" s="10">
        <v>2</v>
      </c>
      <c r="C62" s="10" t="s">
        <v>62</v>
      </c>
      <c r="D62" s="15">
        <v>2</v>
      </c>
      <c r="E62" s="10">
        <v>1</v>
      </c>
      <c r="F62" s="10">
        <v>3</v>
      </c>
      <c r="G62" s="10">
        <v>0</v>
      </c>
      <c r="H62" s="10">
        <v>1</v>
      </c>
      <c r="I62" s="10">
        <v>0</v>
      </c>
      <c r="J62" s="10">
        <v>0</v>
      </c>
      <c r="K62" s="1">
        <v>1107</v>
      </c>
      <c r="L62" s="1">
        <v>1</v>
      </c>
      <c r="N62" s="130">
        <v>45484</v>
      </c>
      <c r="O62" s="10">
        <v>13.38</v>
      </c>
      <c r="P62" s="10">
        <v>1076.5700000000006</v>
      </c>
      <c r="Q62" s="10">
        <v>625</v>
      </c>
      <c r="R62" s="10">
        <v>1.1100000000000001</v>
      </c>
      <c r="S62" s="10">
        <v>17668.11</v>
      </c>
      <c r="T62" s="10">
        <v>22</v>
      </c>
      <c r="U62" s="10">
        <v>17.38</v>
      </c>
      <c r="V62" s="10">
        <v>1826.1399999999994</v>
      </c>
      <c r="W62" s="10">
        <v>464</v>
      </c>
      <c r="X62" s="10">
        <v>4.96</v>
      </c>
      <c r="Y62" s="10">
        <v>116.11000000000013</v>
      </c>
      <c r="Z62" s="10">
        <v>193</v>
      </c>
      <c r="AA62" s="10">
        <v>0.12</v>
      </c>
      <c r="AB62" s="10">
        <v>25874.92</v>
      </c>
      <c r="AC62" s="10">
        <v>2</v>
      </c>
      <c r="AD62" s="10">
        <v>8.44</v>
      </c>
      <c r="AE62" s="10">
        <v>-599.24</v>
      </c>
      <c r="AF62" s="10">
        <v>191</v>
      </c>
      <c r="AG62" s="33">
        <v>0.10785178855067488</v>
      </c>
      <c r="AH62" s="33">
        <v>4.2632759910246815E-2</v>
      </c>
      <c r="AI62" s="33">
        <v>1.464498466446043</v>
      </c>
      <c r="AJ62" s="33">
        <v>-0.54545454545454541</v>
      </c>
      <c r="AK62" s="33">
        <v>-0.32814570624377115</v>
      </c>
      <c r="AL62" s="33">
        <v>0.49702734839476809</v>
      </c>
      <c r="AM62" s="1">
        <v>1166</v>
      </c>
      <c r="AN62" s="1">
        <v>625</v>
      </c>
      <c r="AO62" s="1">
        <v>464</v>
      </c>
      <c r="AP62" s="1">
        <v>22</v>
      </c>
      <c r="AQ62" s="1">
        <v>501</v>
      </c>
      <c r="AR62" s="1">
        <v>193</v>
      </c>
      <c r="AS62" s="1">
        <v>191</v>
      </c>
      <c r="AT62" s="1">
        <v>2</v>
      </c>
      <c r="AU62">
        <v>4012</v>
      </c>
      <c r="AV62">
        <v>2197</v>
      </c>
      <c r="AW62">
        <v>1957</v>
      </c>
      <c r="AX62">
        <v>2711</v>
      </c>
      <c r="AY62">
        <v>2645</v>
      </c>
      <c r="AZ62">
        <v>1980</v>
      </c>
      <c r="BA62" s="13"/>
    </row>
    <row r="63" spans="1:53" x14ac:dyDescent="0.3">
      <c r="A63" s="1">
        <v>61</v>
      </c>
      <c r="B63" s="10">
        <v>2</v>
      </c>
      <c r="C63" s="10" t="s">
        <v>62</v>
      </c>
      <c r="D63" s="15">
        <v>1</v>
      </c>
      <c r="E63" s="10">
        <v>0</v>
      </c>
      <c r="F63" s="10">
        <v>2</v>
      </c>
      <c r="G63" s="10">
        <v>0</v>
      </c>
      <c r="H63" s="10">
        <v>0</v>
      </c>
      <c r="I63" s="10">
        <v>0</v>
      </c>
      <c r="J63" s="10">
        <v>0</v>
      </c>
      <c r="K63" s="1">
        <v>0</v>
      </c>
      <c r="L63" s="1">
        <v>0</v>
      </c>
      <c r="N63" s="130">
        <v>45484</v>
      </c>
      <c r="O63" s="10">
        <v>3.81</v>
      </c>
      <c r="P63" s="10">
        <v>-2166.3099999999995</v>
      </c>
      <c r="Q63" s="10">
        <v>189</v>
      </c>
      <c r="R63" s="10">
        <v>0.75</v>
      </c>
      <c r="S63" s="10">
        <v>-1420.5899999999992</v>
      </c>
      <c r="T63" s="10">
        <v>15</v>
      </c>
      <c r="U63" s="10">
        <v>2.46</v>
      </c>
      <c r="V63" s="10">
        <v>-3129.0899999999992</v>
      </c>
      <c r="W63" s="10">
        <v>73</v>
      </c>
      <c r="X63" s="10">
        <v>0.42</v>
      </c>
      <c r="Y63" s="10">
        <v>101.70000000000005</v>
      </c>
      <c r="Z63" s="10">
        <v>17</v>
      </c>
      <c r="AA63" s="10">
        <v>0</v>
      </c>
      <c r="AB63" s="10">
        <v>-1761.98</v>
      </c>
      <c r="AC63" s="10">
        <v>0</v>
      </c>
      <c r="AD63" s="10">
        <v>0.73</v>
      </c>
      <c r="AE63" s="10">
        <v>19.089999999999918</v>
      </c>
      <c r="AF63" s="10">
        <v>17</v>
      </c>
      <c r="AG63" s="33">
        <v>-4.694618960351938E-2</v>
      </c>
      <c r="AH63" s="33">
        <v>2.8947368421052631E-2</v>
      </c>
      <c r="AI63" s="33">
        <v>1.2403156435002365</v>
      </c>
      <c r="AJ63" s="33">
        <v>-0.11594202898550726</v>
      </c>
      <c r="AK63" s="33">
        <v>-6.1008152529968534E-3</v>
      </c>
      <c r="AL63" s="33">
        <v>0.27083333333333337</v>
      </c>
      <c r="AM63" s="1">
        <v>194</v>
      </c>
      <c r="AN63" s="1">
        <v>189</v>
      </c>
      <c r="AO63" s="1">
        <v>73</v>
      </c>
      <c r="AP63" s="1">
        <v>15</v>
      </c>
      <c r="AQ63" s="1">
        <v>99</v>
      </c>
      <c r="AR63" s="1">
        <v>17</v>
      </c>
      <c r="AS63" s="1">
        <v>17</v>
      </c>
      <c r="AT63" s="1">
        <v>0</v>
      </c>
      <c r="AU63">
        <v>4747</v>
      </c>
      <c r="AV63">
        <v>2878</v>
      </c>
      <c r="AW63">
        <v>1972</v>
      </c>
      <c r="AX63">
        <v>3013</v>
      </c>
      <c r="AY63">
        <v>2939</v>
      </c>
      <c r="AZ63">
        <v>1988</v>
      </c>
      <c r="BA63" s="13"/>
    </row>
    <row r="64" spans="1:53" s="13" customFormat="1" x14ac:dyDescent="0.3">
      <c r="A64" s="17" t="s">
        <v>634</v>
      </c>
      <c r="B64" s="12"/>
      <c r="C64" s="12" t="s">
        <v>58</v>
      </c>
      <c r="D64" s="15"/>
      <c r="E64" s="12"/>
      <c r="F64" s="12"/>
      <c r="G64" s="12">
        <v>1</v>
      </c>
      <c r="H64" s="12">
        <v>1</v>
      </c>
      <c r="I64" s="12"/>
      <c r="J64" s="12"/>
      <c r="K64" s="17">
        <v>293000</v>
      </c>
      <c r="L64" s="17">
        <v>1</v>
      </c>
      <c r="M64" s="17">
        <v>6</v>
      </c>
      <c r="N64" s="130">
        <v>45484</v>
      </c>
      <c r="O64" s="12">
        <v>4.45</v>
      </c>
      <c r="P64" s="12">
        <v>-199.42999999999938</v>
      </c>
      <c r="Q64" s="17">
        <v>211</v>
      </c>
      <c r="R64" s="12">
        <v>1</v>
      </c>
      <c r="S64" s="12">
        <v>11863.54</v>
      </c>
      <c r="T64" s="12">
        <v>20</v>
      </c>
      <c r="U64" s="12">
        <v>4.7699999999999996</v>
      </c>
      <c r="V64" s="17">
        <v>174.71999999999935</v>
      </c>
      <c r="W64" s="17">
        <v>130</v>
      </c>
      <c r="X64" s="17">
        <v>0.3</v>
      </c>
      <c r="Y64" s="12">
        <v>-366.53</v>
      </c>
      <c r="Z64" s="12">
        <v>13</v>
      </c>
      <c r="AA64" s="12">
        <v>0</v>
      </c>
      <c r="AB64" s="17">
        <v>-1782.94</v>
      </c>
      <c r="AC64" s="12">
        <v>0</v>
      </c>
      <c r="AD64" s="17">
        <v>0.46</v>
      </c>
      <c r="AE64" s="17">
        <v>-474.44000000000005</v>
      </c>
      <c r="AF64" s="12">
        <v>12</v>
      </c>
      <c r="AG64" s="32">
        <v>1.8378879807451292</v>
      </c>
      <c r="AH64" s="32">
        <v>1.3513513513513513E-2</v>
      </c>
      <c r="AI64" s="32">
        <v>-0.15028735099304255</v>
      </c>
      <c r="AJ64" s="32">
        <v>-6.097560975609756E-2</v>
      </c>
      <c r="AK64" s="32">
        <v>-2.7154304029304135</v>
      </c>
      <c r="AL64" s="32">
        <v>8.2788671023965144E-2</v>
      </c>
      <c r="AM64" s="17">
        <v>374</v>
      </c>
      <c r="AN64" s="17">
        <v>211</v>
      </c>
      <c r="AO64" s="17">
        <v>130</v>
      </c>
      <c r="AP64" s="17">
        <v>20</v>
      </c>
      <c r="AQ64" s="17">
        <v>56</v>
      </c>
      <c r="AR64" s="17">
        <v>13</v>
      </c>
      <c r="AS64" s="17">
        <v>12</v>
      </c>
      <c r="AT64" s="17">
        <v>0</v>
      </c>
      <c r="AU64" s="13">
        <v>4511</v>
      </c>
      <c r="AV64" s="13">
        <v>2590</v>
      </c>
      <c r="AW64" s="13">
        <v>1976</v>
      </c>
      <c r="AX64" s="13">
        <v>2793</v>
      </c>
      <c r="AY64" s="13">
        <v>2708</v>
      </c>
      <c r="AZ64" s="13">
        <v>1991</v>
      </c>
    </row>
    <row r="65" spans="1:52" s="13" customFormat="1" x14ac:dyDescent="0.3">
      <c r="A65" s="17" t="s">
        <v>635</v>
      </c>
      <c r="B65" s="12"/>
      <c r="C65" s="12" t="s">
        <v>58</v>
      </c>
      <c r="D65" s="15"/>
      <c r="E65" s="12"/>
      <c r="F65" s="12"/>
      <c r="G65" s="12">
        <v>1</v>
      </c>
      <c r="H65" s="12">
        <v>1</v>
      </c>
      <c r="I65" s="12"/>
      <c r="J65" s="12"/>
      <c r="K65" s="17">
        <v>1477</v>
      </c>
      <c r="L65" s="17">
        <v>1</v>
      </c>
      <c r="M65" s="17">
        <v>3.0000000000000001E-3</v>
      </c>
      <c r="N65" s="130">
        <v>45484</v>
      </c>
      <c r="O65" s="12">
        <v>15.29</v>
      </c>
      <c r="P65" s="12">
        <v>5142.170000000001</v>
      </c>
      <c r="Q65" s="17">
        <v>739</v>
      </c>
      <c r="R65" s="12">
        <v>3.09</v>
      </c>
      <c r="S65" s="12">
        <v>10248.240000000002</v>
      </c>
      <c r="T65" s="12">
        <v>65</v>
      </c>
      <c r="U65" s="12">
        <v>21.02</v>
      </c>
      <c r="V65" s="17">
        <v>6227.67</v>
      </c>
      <c r="W65" s="17">
        <v>570</v>
      </c>
      <c r="X65" s="17">
        <v>8.7899999999999991</v>
      </c>
      <c r="Y65" s="12">
        <v>517.61000000000013</v>
      </c>
      <c r="Z65" s="12">
        <v>329</v>
      </c>
      <c r="AA65" s="12">
        <v>0.19</v>
      </c>
      <c r="AB65" s="17">
        <v>3263.3399999999997</v>
      </c>
      <c r="AC65" s="12">
        <v>3</v>
      </c>
      <c r="AD65" s="17">
        <v>14.95</v>
      </c>
      <c r="AE65" s="17">
        <v>-25.2199999999998</v>
      </c>
      <c r="AF65" s="12">
        <v>319</v>
      </c>
      <c r="AG65" s="32">
        <v>0.10065983816170994</v>
      </c>
      <c r="AH65" s="32">
        <v>4.581151832460733E-2</v>
      </c>
      <c r="AI65" s="32">
        <v>0.31842931078897441</v>
      </c>
      <c r="AJ65" s="32">
        <v>-0.10714285714285715</v>
      </c>
      <c r="AK65" s="32">
        <v>-4.0496686561747493E-3</v>
      </c>
      <c r="AL65" s="32">
        <v>0.74761186525892398</v>
      </c>
      <c r="AM65" s="17">
        <v>1829</v>
      </c>
      <c r="AN65" s="17">
        <v>739</v>
      </c>
      <c r="AO65" s="17">
        <v>570</v>
      </c>
      <c r="AP65" s="17">
        <v>65</v>
      </c>
      <c r="AQ65" s="17">
        <v>615</v>
      </c>
      <c r="AR65" s="17">
        <v>329</v>
      </c>
      <c r="AS65" s="17">
        <v>319</v>
      </c>
      <c r="AT65" s="17">
        <v>3</v>
      </c>
      <c r="AU65" s="13">
        <v>4057</v>
      </c>
      <c r="AV65" s="13">
        <v>2130</v>
      </c>
      <c r="AW65" s="13">
        <v>2036</v>
      </c>
      <c r="AX65" s="13">
        <v>2734</v>
      </c>
      <c r="AY65" s="13">
        <v>2696</v>
      </c>
      <c r="AZ65" s="13">
        <v>2098</v>
      </c>
    </row>
    <row r="66" spans="1:52" s="13" customFormat="1" x14ac:dyDescent="0.3">
      <c r="A66" s="17" t="s">
        <v>636</v>
      </c>
      <c r="B66" s="12"/>
      <c r="C66" s="12" t="s">
        <v>58</v>
      </c>
      <c r="D66" s="15"/>
      <c r="E66" s="12"/>
      <c r="F66" s="12"/>
      <c r="G66" s="12">
        <v>1</v>
      </c>
      <c r="H66" s="12">
        <v>1</v>
      </c>
      <c r="I66" s="12"/>
      <c r="J66" s="12"/>
      <c r="K66" s="17">
        <v>427</v>
      </c>
      <c r="L66" s="17">
        <v>1</v>
      </c>
      <c r="M66" s="17">
        <v>0.01</v>
      </c>
      <c r="N66" s="130">
        <v>45484</v>
      </c>
      <c r="O66" s="12">
        <v>16.45</v>
      </c>
      <c r="P66" s="12">
        <v>3129.5600000000004</v>
      </c>
      <c r="Q66" s="17">
        <v>893</v>
      </c>
      <c r="R66" s="12">
        <v>2.59</v>
      </c>
      <c r="S66" s="12">
        <v>6319.1299999999992</v>
      </c>
      <c r="T66" s="12">
        <v>56</v>
      </c>
      <c r="U66" s="12">
        <v>21.33</v>
      </c>
      <c r="V66" s="17">
        <v>3850.41</v>
      </c>
      <c r="W66" s="17">
        <v>692</v>
      </c>
      <c r="X66" s="17">
        <v>6.23</v>
      </c>
      <c r="Y66" s="12">
        <v>107.48000000000002</v>
      </c>
      <c r="Z66" s="12">
        <v>256</v>
      </c>
      <c r="AA66" s="12">
        <v>0</v>
      </c>
      <c r="AB66" s="17">
        <v>-2023.86</v>
      </c>
      <c r="AC66" s="12">
        <v>0</v>
      </c>
      <c r="AD66" s="17">
        <v>10.42</v>
      </c>
      <c r="AE66" s="17">
        <v>-239</v>
      </c>
      <c r="AF66" s="12">
        <v>253</v>
      </c>
      <c r="AG66" s="32">
        <v>3.4343485985250326E-2</v>
      </c>
      <c r="AH66" s="32">
        <v>2.3114355231143555E-2</v>
      </c>
      <c r="AI66" s="32">
        <v>-0.3202751011610776</v>
      </c>
      <c r="AJ66" s="32">
        <v>-0.15200000000000002</v>
      </c>
      <c r="AK66" s="32">
        <v>-6.2071311886266661E-2</v>
      </c>
      <c r="AL66" s="32">
        <v>0.51725862931465738</v>
      </c>
      <c r="AM66" s="17">
        <v>2171</v>
      </c>
      <c r="AN66" s="17">
        <v>893</v>
      </c>
      <c r="AO66" s="17">
        <v>692</v>
      </c>
      <c r="AP66" s="17">
        <v>56</v>
      </c>
      <c r="AQ66" s="17">
        <v>338</v>
      </c>
      <c r="AR66" s="17">
        <v>256</v>
      </c>
      <c r="AS66" s="17">
        <v>253</v>
      </c>
      <c r="AT66" s="17">
        <v>0</v>
      </c>
      <c r="AU66" s="13">
        <v>4499</v>
      </c>
      <c r="AV66" s="13">
        <v>2538</v>
      </c>
      <c r="AW66" s="13">
        <v>2107</v>
      </c>
      <c r="AX66" s="13">
        <v>3249</v>
      </c>
      <c r="AY66" s="13">
        <v>3211</v>
      </c>
      <c r="AZ66" s="13">
        <v>2163</v>
      </c>
    </row>
    <row r="67" spans="1:52" s="13" customFormat="1" x14ac:dyDescent="0.3">
      <c r="A67" s="17" t="s">
        <v>637</v>
      </c>
      <c r="B67" s="12"/>
      <c r="C67" s="12" t="s">
        <v>59</v>
      </c>
      <c r="D67" s="15"/>
      <c r="E67" s="12"/>
      <c r="F67" s="12"/>
      <c r="G67" s="12">
        <v>1</v>
      </c>
      <c r="H67" s="12">
        <v>0</v>
      </c>
      <c r="I67" s="12"/>
      <c r="J67" s="12"/>
      <c r="K67" s="17"/>
      <c r="L67" s="17">
        <v>0</v>
      </c>
      <c r="M67" s="17"/>
      <c r="N67" s="130">
        <v>45484</v>
      </c>
      <c r="O67" s="12">
        <v>2.27</v>
      </c>
      <c r="P67" s="12">
        <v>-2525.6399999999994</v>
      </c>
      <c r="Q67" s="17">
        <v>104</v>
      </c>
      <c r="R67" s="12">
        <v>0.05</v>
      </c>
      <c r="S67" s="12">
        <v>2922.8100000000004</v>
      </c>
      <c r="T67" s="12">
        <v>1</v>
      </c>
      <c r="U67" s="12">
        <v>1.26</v>
      </c>
      <c r="V67" s="17">
        <v>-1365.1999999999998</v>
      </c>
      <c r="W67" s="17">
        <v>33</v>
      </c>
      <c r="X67" s="17">
        <v>0.2</v>
      </c>
      <c r="Y67" s="12">
        <v>-512.32999999999993</v>
      </c>
      <c r="Z67" s="12">
        <v>9</v>
      </c>
      <c r="AA67" s="12">
        <v>0</v>
      </c>
      <c r="AB67" s="17">
        <v>-1724.22</v>
      </c>
      <c r="AC67" s="12">
        <v>0</v>
      </c>
      <c r="AD67" s="17">
        <v>0.34</v>
      </c>
      <c r="AE67" s="17">
        <v>-557.18000000000006</v>
      </c>
      <c r="AF67" s="12">
        <v>9</v>
      </c>
      <c r="AG67" s="32">
        <v>0.20285155445748407</v>
      </c>
      <c r="AH67" s="32">
        <v>3.0973451327433628E-2</v>
      </c>
      <c r="AI67" s="32">
        <v>-0.58991860572531218</v>
      </c>
      <c r="AJ67" s="32">
        <v>-2.4999999999999996</v>
      </c>
      <c r="AK67" s="32">
        <v>0.40813067682390869</v>
      </c>
      <c r="AL67" s="32">
        <v>0.21138211382113822</v>
      </c>
      <c r="AM67" s="17">
        <v>144</v>
      </c>
      <c r="AN67" s="17">
        <v>104</v>
      </c>
      <c r="AO67" s="17">
        <v>33</v>
      </c>
      <c r="AP67" s="17">
        <v>1</v>
      </c>
      <c r="AQ67" s="17">
        <v>64</v>
      </c>
      <c r="AR67" s="17">
        <v>9</v>
      </c>
      <c r="AS67" s="17">
        <v>9</v>
      </c>
      <c r="AT67" s="17">
        <v>0</v>
      </c>
      <c r="AU67" s="13">
        <v>4460</v>
      </c>
      <c r="AV67" s="13">
        <v>2584</v>
      </c>
      <c r="AW67" s="13">
        <v>1939</v>
      </c>
      <c r="AX67" s="13">
        <v>2669</v>
      </c>
      <c r="AY67" s="13">
        <v>2607</v>
      </c>
      <c r="AZ67" s="13">
        <v>1939</v>
      </c>
    </row>
    <row r="68" spans="1:52" s="13" customFormat="1" x14ac:dyDescent="0.3">
      <c r="A68" s="17" t="s">
        <v>638</v>
      </c>
      <c r="B68" s="12"/>
      <c r="C68" s="12" t="s">
        <v>59</v>
      </c>
      <c r="D68" s="15"/>
      <c r="E68" s="12"/>
      <c r="F68" s="12"/>
      <c r="G68" s="12">
        <v>0</v>
      </c>
      <c r="H68" s="12">
        <v>1</v>
      </c>
      <c r="I68" s="12"/>
      <c r="J68" s="17"/>
      <c r="K68" s="12"/>
      <c r="L68" s="12">
        <v>0</v>
      </c>
      <c r="M68" s="17"/>
      <c r="N68" s="130">
        <v>45484</v>
      </c>
      <c r="O68" s="12">
        <v>0.71</v>
      </c>
      <c r="P68" s="12">
        <v>-1023.6599999999999</v>
      </c>
      <c r="Q68" s="17">
        <v>38</v>
      </c>
      <c r="R68" s="12">
        <v>0.24</v>
      </c>
      <c r="S68" s="12">
        <v>-208.1299999999992</v>
      </c>
      <c r="T68" s="12">
        <v>5</v>
      </c>
      <c r="U68" s="12">
        <v>0.47</v>
      </c>
      <c r="V68" s="17">
        <v>-835.78999999999905</v>
      </c>
      <c r="W68" s="17">
        <v>15</v>
      </c>
      <c r="X68" s="1">
        <v>0.25</v>
      </c>
      <c r="Y68" s="12">
        <v>-430.40999999999985</v>
      </c>
      <c r="Z68" s="12">
        <v>10</v>
      </c>
      <c r="AA68" s="12">
        <v>0</v>
      </c>
      <c r="AB68" s="17">
        <v>-1752.76</v>
      </c>
      <c r="AC68" s="12">
        <v>0</v>
      </c>
      <c r="AD68" s="17">
        <v>0.42</v>
      </c>
      <c r="AE68" s="17">
        <v>-503.79999999999995</v>
      </c>
      <c r="AF68" s="12">
        <v>10</v>
      </c>
      <c r="AG68" s="32">
        <v>0.42046187210597258</v>
      </c>
      <c r="AH68" s="32">
        <v>0.1142857142857143</v>
      </c>
      <c r="AI68" s="32">
        <v>8.421467352135716</v>
      </c>
      <c r="AJ68" s="32">
        <v>-0.27272727272727271</v>
      </c>
      <c r="AK68" s="32">
        <v>0.60278299572859273</v>
      </c>
      <c r="AL68" s="32">
        <v>0.75555555555555554</v>
      </c>
      <c r="AM68" s="17">
        <v>24</v>
      </c>
      <c r="AN68" s="17">
        <v>19</v>
      </c>
      <c r="AO68" s="17">
        <v>10</v>
      </c>
      <c r="AP68" s="17">
        <v>3</v>
      </c>
      <c r="AQ68" s="17">
        <v>69</v>
      </c>
      <c r="AR68" s="17">
        <v>12</v>
      </c>
      <c r="AS68" s="17">
        <v>12</v>
      </c>
      <c r="AT68" s="17">
        <v>0</v>
      </c>
      <c r="AU68" s="13">
        <v>4518</v>
      </c>
      <c r="AV68" s="13">
        <v>4242</v>
      </c>
      <c r="AW68" s="13">
        <v>247</v>
      </c>
      <c r="AX68" s="13">
        <v>4244</v>
      </c>
      <c r="AY68" s="13">
        <v>4218</v>
      </c>
      <c r="AZ68" s="13">
        <v>249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FD64A-7C62-48DB-AFA1-785CE41699F8}">
  <sheetPr>
    <tabColor theme="7" tint="0.79998168889431442"/>
  </sheetPr>
  <dimension ref="A1:F54"/>
  <sheetViews>
    <sheetView workbookViewId="0">
      <selection activeCell="B16" sqref="B16"/>
    </sheetView>
  </sheetViews>
  <sheetFormatPr defaultRowHeight="14.4" x14ac:dyDescent="0.3"/>
  <cols>
    <col min="1" max="1" width="41.33203125" style="4" bestFit="1" customWidth="1"/>
    <col min="2" max="2" width="80.109375" customWidth="1"/>
    <col min="3" max="3" width="41.77734375" bestFit="1" customWidth="1"/>
    <col min="4" max="4" width="64.109375" bestFit="1" customWidth="1"/>
    <col min="5" max="5" width="18.77734375" customWidth="1"/>
  </cols>
  <sheetData>
    <row r="1" spans="1:6" x14ac:dyDescent="0.3">
      <c r="A1" s="2" t="s">
        <v>14</v>
      </c>
      <c r="B1" s="3" t="s">
        <v>15</v>
      </c>
      <c r="C1" s="3" t="s">
        <v>16</v>
      </c>
      <c r="D1" s="3" t="s">
        <v>17</v>
      </c>
      <c r="E1" s="3" t="s">
        <v>18</v>
      </c>
    </row>
    <row r="2" spans="1:6" x14ac:dyDescent="0.3">
      <c r="A2" s="4" t="s">
        <v>19</v>
      </c>
      <c r="B2" t="s">
        <v>639</v>
      </c>
      <c r="E2" t="s">
        <v>20</v>
      </c>
    </row>
    <row r="3" spans="1:6" x14ac:dyDescent="0.3">
      <c r="A3" s="4" t="s">
        <v>2</v>
      </c>
      <c r="B3" t="s">
        <v>25</v>
      </c>
      <c r="C3" t="s">
        <v>2</v>
      </c>
      <c r="D3" t="s">
        <v>65</v>
      </c>
      <c r="E3" t="s">
        <v>24</v>
      </c>
    </row>
    <row r="4" spans="1:6" ht="28.8" x14ac:dyDescent="0.3">
      <c r="A4" s="4" t="s">
        <v>52</v>
      </c>
      <c r="B4" s="9" t="s">
        <v>66</v>
      </c>
      <c r="C4" s="9" t="s">
        <v>66</v>
      </c>
      <c r="D4" s="128" t="s">
        <v>67</v>
      </c>
      <c r="E4" s="10" t="s">
        <v>24</v>
      </c>
    </row>
    <row r="5" spans="1:6" x14ac:dyDescent="0.3">
      <c r="A5" s="31" t="s">
        <v>640</v>
      </c>
      <c r="B5" t="s">
        <v>640</v>
      </c>
      <c r="C5" t="s">
        <v>4</v>
      </c>
      <c r="D5" s="38" t="s">
        <v>68</v>
      </c>
      <c r="E5" t="s">
        <v>24</v>
      </c>
    </row>
    <row r="6" spans="1:6" x14ac:dyDescent="0.3">
      <c r="A6" s="31" t="s">
        <v>5</v>
      </c>
      <c r="B6" t="s">
        <v>5</v>
      </c>
      <c r="C6" s="207" t="s">
        <v>641</v>
      </c>
      <c r="D6" s="207" t="s">
        <v>641</v>
      </c>
      <c r="E6" t="s">
        <v>24</v>
      </c>
    </row>
    <row r="7" spans="1:6" x14ac:dyDescent="0.3">
      <c r="A7" s="31" t="s">
        <v>6</v>
      </c>
      <c r="B7" t="s">
        <v>6</v>
      </c>
      <c r="C7" s="207" t="s">
        <v>641</v>
      </c>
      <c r="D7" s="207" t="s">
        <v>641</v>
      </c>
      <c r="E7" t="s">
        <v>24</v>
      </c>
    </row>
    <row r="8" spans="1:6" x14ac:dyDescent="0.3">
      <c r="A8" s="31" t="s">
        <v>41</v>
      </c>
      <c r="B8" t="s">
        <v>48</v>
      </c>
      <c r="C8" t="s">
        <v>49</v>
      </c>
      <c r="D8" s="6" t="s">
        <v>69</v>
      </c>
      <c r="E8" t="s">
        <v>24</v>
      </c>
    </row>
    <row r="9" spans="1:6" x14ac:dyDescent="0.3">
      <c r="A9" s="31" t="s">
        <v>42</v>
      </c>
      <c r="B9" t="s">
        <v>51</v>
      </c>
      <c r="C9" t="s">
        <v>70</v>
      </c>
      <c r="D9" s="5" t="s">
        <v>30</v>
      </c>
      <c r="E9" t="s">
        <v>24</v>
      </c>
    </row>
    <row r="10" spans="1:6" x14ac:dyDescent="0.3">
      <c r="A10" s="31" t="s">
        <v>53</v>
      </c>
      <c r="B10" s="6" t="s">
        <v>71</v>
      </c>
      <c r="C10" t="s">
        <v>72</v>
      </c>
      <c r="E10" t="s">
        <v>27</v>
      </c>
    </row>
    <row r="11" spans="1:6" x14ac:dyDescent="0.3">
      <c r="A11" s="31" t="s">
        <v>54</v>
      </c>
      <c r="B11" s="6" t="s">
        <v>73</v>
      </c>
      <c r="C11" t="s">
        <v>70</v>
      </c>
      <c r="D11" s="5" t="s">
        <v>30</v>
      </c>
      <c r="E11" t="s">
        <v>24</v>
      </c>
    </row>
    <row r="12" spans="1:6" x14ac:dyDescent="0.3">
      <c r="A12" s="31" t="s">
        <v>55</v>
      </c>
      <c r="B12" s="6" t="s">
        <v>74</v>
      </c>
      <c r="C12" t="s">
        <v>75</v>
      </c>
      <c r="E12" t="s">
        <v>27</v>
      </c>
    </row>
    <row r="13" spans="1:6" x14ac:dyDescent="0.3">
      <c r="A13" s="31" t="s">
        <v>56</v>
      </c>
      <c r="B13" s="6" t="s">
        <v>76</v>
      </c>
      <c r="C13" t="s">
        <v>70</v>
      </c>
      <c r="D13" s="5" t="s">
        <v>30</v>
      </c>
      <c r="E13" t="s">
        <v>24</v>
      </c>
    </row>
    <row r="14" spans="1:6" x14ac:dyDescent="0.3">
      <c r="A14" s="31" t="s">
        <v>77</v>
      </c>
      <c r="B14" s="6" t="s">
        <v>78</v>
      </c>
      <c r="C14" t="s">
        <v>79</v>
      </c>
      <c r="E14" t="s">
        <v>27</v>
      </c>
    </row>
    <row r="15" spans="1:6" x14ac:dyDescent="0.3">
      <c r="A15" s="31" t="s">
        <v>383</v>
      </c>
      <c r="B15" s="6" t="s">
        <v>384</v>
      </c>
      <c r="C15" t="s">
        <v>383</v>
      </c>
      <c r="E15" t="s">
        <v>379</v>
      </c>
      <c r="F15" s="9"/>
    </row>
    <row r="16" spans="1:6" ht="28.8" x14ac:dyDescent="0.3">
      <c r="A16" s="31" t="s">
        <v>386</v>
      </c>
      <c r="B16" s="39" t="s">
        <v>428</v>
      </c>
      <c r="C16" t="s">
        <v>392</v>
      </c>
      <c r="E16" t="s">
        <v>27</v>
      </c>
    </row>
    <row r="17" spans="1:5" ht="28.8" x14ac:dyDescent="0.3">
      <c r="A17" s="31" t="s">
        <v>387</v>
      </c>
      <c r="B17" s="40" t="s">
        <v>429</v>
      </c>
      <c r="C17" s="6" t="s">
        <v>393</v>
      </c>
      <c r="E17" t="s">
        <v>27</v>
      </c>
    </row>
    <row r="18" spans="1:5" ht="28.8" x14ac:dyDescent="0.3">
      <c r="A18" s="31" t="s">
        <v>388</v>
      </c>
      <c r="B18" s="41" t="s">
        <v>430</v>
      </c>
      <c r="C18" s="6" t="s">
        <v>394</v>
      </c>
      <c r="E18" t="s">
        <v>27</v>
      </c>
    </row>
    <row r="19" spans="1:5" ht="28.8" x14ac:dyDescent="0.3">
      <c r="A19" s="31" t="s">
        <v>389</v>
      </c>
      <c r="B19" s="40" t="s">
        <v>431</v>
      </c>
      <c r="C19" s="6" t="s">
        <v>395</v>
      </c>
      <c r="E19" t="s">
        <v>27</v>
      </c>
    </row>
    <row r="20" spans="1:5" ht="28.8" x14ac:dyDescent="0.3">
      <c r="A20" s="31" t="s">
        <v>390</v>
      </c>
      <c r="B20" s="39" t="s">
        <v>432</v>
      </c>
      <c r="C20" s="6" t="s">
        <v>396</v>
      </c>
      <c r="E20" t="s">
        <v>27</v>
      </c>
    </row>
    <row r="21" spans="1:5" ht="28.8" x14ac:dyDescent="0.3">
      <c r="A21" s="31" t="s">
        <v>391</v>
      </c>
      <c r="B21" s="40" t="s">
        <v>434</v>
      </c>
      <c r="C21" s="6" t="s">
        <v>397</v>
      </c>
      <c r="E21" t="s">
        <v>27</v>
      </c>
    </row>
    <row r="22" spans="1:5" ht="28.8" x14ac:dyDescent="0.3">
      <c r="A22" s="31" t="s">
        <v>398</v>
      </c>
      <c r="B22" s="39" t="s">
        <v>433</v>
      </c>
      <c r="C22" s="6" t="s">
        <v>399</v>
      </c>
      <c r="E22" t="s">
        <v>27</v>
      </c>
    </row>
    <row r="23" spans="1:5" ht="28.8" x14ac:dyDescent="0.3">
      <c r="A23" s="31" t="s">
        <v>401</v>
      </c>
      <c r="B23" s="40" t="s">
        <v>435</v>
      </c>
      <c r="C23" s="6" t="s">
        <v>400</v>
      </c>
      <c r="E23" t="s">
        <v>27</v>
      </c>
    </row>
    <row r="24" spans="1:5" ht="28.8" x14ac:dyDescent="0.3">
      <c r="A24" s="31" t="s">
        <v>402</v>
      </c>
      <c r="B24" s="42" t="s">
        <v>436</v>
      </c>
      <c r="C24" s="6" t="s">
        <v>403</v>
      </c>
      <c r="E24" t="s">
        <v>27</v>
      </c>
    </row>
    <row r="25" spans="1:5" ht="28.8" x14ac:dyDescent="0.3">
      <c r="A25" s="31" t="s">
        <v>404</v>
      </c>
      <c r="B25" s="40" t="s">
        <v>437</v>
      </c>
      <c r="C25" s="6" t="s">
        <v>405</v>
      </c>
      <c r="E25" t="s">
        <v>27</v>
      </c>
    </row>
    <row r="26" spans="1:5" ht="28.8" x14ac:dyDescent="0.3">
      <c r="A26" s="31" t="s">
        <v>406</v>
      </c>
      <c r="B26" s="40" t="s">
        <v>438</v>
      </c>
      <c r="C26" s="6" t="s">
        <v>407</v>
      </c>
      <c r="E26" t="s">
        <v>27</v>
      </c>
    </row>
    <row r="27" spans="1:5" ht="28.8" x14ac:dyDescent="0.3">
      <c r="A27" s="31" t="s">
        <v>408</v>
      </c>
      <c r="B27" s="39" t="s">
        <v>439</v>
      </c>
      <c r="C27" s="6" t="s">
        <v>409</v>
      </c>
      <c r="E27" t="s">
        <v>27</v>
      </c>
    </row>
    <row r="28" spans="1:5" ht="28.8" x14ac:dyDescent="0.3">
      <c r="A28" s="31" t="s">
        <v>410</v>
      </c>
      <c r="B28" s="39" t="s">
        <v>440</v>
      </c>
      <c r="C28" s="6" t="s">
        <v>411</v>
      </c>
      <c r="E28" t="s">
        <v>27</v>
      </c>
    </row>
    <row r="29" spans="1:5" ht="28.8" x14ac:dyDescent="0.3">
      <c r="A29" s="31" t="s">
        <v>412</v>
      </c>
      <c r="B29" s="39" t="s">
        <v>441</v>
      </c>
      <c r="C29" s="6" t="s">
        <v>413</v>
      </c>
      <c r="E29" t="s">
        <v>27</v>
      </c>
    </row>
    <row r="30" spans="1:5" ht="28.8" x14ac:dyDescent="0.3">
      <c r="A30" s="31" t="s">
        <v>414</v>
      </c>
      <c r="B30" s="40" t="s">
        <v>442</v>
      </c>
      <c r="C30" s="6" t="s">
        <v>415</v>
      </c>
      <c r="E30" t="s">
        <v>27</v>
      </c>
    </row>
    <row r="31" spans="1:5" ht="28.8" x14ac:dyDescent="0.3">
      <c r="A31" s="31" t="s">
        <v>416</v>
      </c>
      <c r="B31" s="41" t="s">
        <v>443</v>
      </c>
      <c r="C31" s="6" t="s">
        <v>417</v>
      </c>
      <c r="E31" t="s">
        <v>27</v>
      </c>
    </row>
    <row r="32" spans="1:5" ht="28.8" x14ac:dyDescent="0.3">
      <c r="A32" s="31" t="s">
        <v>418</v>
      </c>
      <c r="B32" s="41" t="s">
        <v>444</v>
      </c>
      <c r="C32" s="6" t="s">
        <v>419</v>
      </c>
      <c r="E32" t="s">
        <v>27</v>
      </c>
    </row>
    <row r="33" spans="1:5" ht="28.8" x14ac:dyDescent="0.3">
      <c r="A33" s="31" t="s">
        <v>420</v>
      </c>
      <c r="B33" s="40" t="s">
        <v>445</v>
      </c>
      <c r="C33" s="6" t="s">
        <v>421</v>
      </c>
      <c r="E33" t="s">
        <v>27</v>
      </c>
    </row>
    <row r="34" spans="1:5" x14ac:dyDescent="0.3">
      <c r="A34" s="4" t="s">
        <v>422</v>
      </c>
      <c r="B34" t="s">
        <v>446</v>
      </c>
      <c r="C34" t="s">
        <v>422</v>
      </c>
      <c r="E34" t="s">
        <v>27</v>
      </c>
    </row>
    <row r="35" spans="1:5" ht="28.8" x14ac:dyDescent="0.3">
      <c r="A35" s="4" t="s">
        <v>423</v>
      </c>
      <c r="B35" s="127" t="s">
        <v>447</v>
      </c>
      <c r="C35" t="s">
        <v>423</v>
      </c>
      <c r="E35" t="s">
        <v>27</v>
      </c>
    </row>
    <row r="36" spans="1:5" x14ac:dyDescent="0.3">
      <c r="A36" s="4" t="s">
        <v>424</v>
      </c>
      <c r="B36" t="s">
        <v>448</v>
      </c>
      <c r="C36" t="s">
        <v>424</v>
      </c>
      <c r="E36" t="s">
        <v>27</v>
      </c>
    </row>
    <row r="37" spans="1:5" ht="28.8" x14ac:dyDescent="0.3">
      <c r="A37" s="4" t="s">
        <v>425</v>
      </c>
      <c r="B37" s="127" t="s">
        <v>449</v>
      </c>
      <c r="C37" t="s">
        <v>425</v>
      </c>
      <c r="E37" t="s">
        <v>27</v>
      </c>
    </row>
    <row r="38" spans="1:5" x14ac:dyDescent="0.3">
      <c r="A38" s="4" t="s">
        <v>426</v>
      </c>
      <c r="B38" t="s">
        <v>450</v>
      </c>
      <c r="C38" t="s">
        <v>426</v>
      </c>
      <c r="E38" t="s">
        <v>27</v>
      </c>
    </row>
    <row r="39" spans="1:5" ht="28.8" x14ac:dyDescent="0.3">
      <c r="A39" s="4" t="s">
        <v>427</v>
      </c>
      <c r="B39" s="127" t="s">
        <v>451</v>
      </c>
      <c r="C39" t="s">
        <v>427</v>
      </c>
      <c r="E39" t="s">
        <v>27</v>
      </c>
    </row>
    <row r="40" spans="1:5" x14ac:dyDescent="0.3">
      <c r="A40" s="4" t="s">
        <v>597</v>
      </c>
      <c r="B40" t="s">
        <v>599</v>
      </c>
      <c r="C40" t="s">
        <v>623</v>
      </c>
      <c r="E40" t="s">
        <v>27</v>
      </c>
    </row>
    <row r="41" spans="1:5" x14ac:dyDescent="0.3">
      <c r="A41" s="4" t="s">
        <v>591</v>
      </c>
      <c r="B41" s="127" t="s">
        <v>611</v>
      </c>
      <c r="C41" t="s">
        <v>591</v>
      </c>
      <c r="E41" t="s">
        <v>27</v>
      </c>
    </row>
    <row r="42" spans="1:5" x14ac:dyDescent="0.3">
      <c r="A42" s="4" t="s">
        <v>592</v>
      </c>
      <c r="B42" s="127" t="s">
        <v>621</v>
      </c>
      <c r="C42" t="s">
        <v>592</v>
      </c>
      <c r="E42" t="s">
        <v>27</v>
      </c>
    </row>
    <row r="43" spans="1:5" x14ac:dyDescent="0.3">
      <c r="A43" s="4" t="s">
        <v>593</v>
      </c>
      <c r="B43" s="127" t="s">
        <v>622</v>
      </c>
      <c r="C43" t="s">
        <v>593</v>
      </c>
      <c r="E43" t="s">
        <v>27</v>
      </c>
    </row>
    <row r="44" spans="1:5" x14ac:dyDescent="0.3">
      <c r="A44" s="4" t="s">
        <v>598</v>
      </c>
      <c r="B44" t="s">
        <v>600</v>
      </c>
      <c r="C44" t="s">
        <v>624</v>
      </c>
      <c r="E44" t="s">
        <v>27</v>
      </c>
    </row>
    <row r="45" spans="1:5" x14ac:dyDescent="0.3">
      <c r="A45" s="4" t="s">
        <v>594</v>
      </c>
      <c r="B45" s="127" t="s">
        <v>612</v>
      </c>
      <c r="C45" t="s">
        <v>594</v>
      </c>
      <c r="E45" t="s">
        <v>27</v>
      </c>
    </row>
    <row r="46" spans="1:5" x14ac:dyDescent="0.3">
      <c r="A46" s="4" t="s">
        <v>595</v>
      </c>
      <c r="B46" s="127" t="s">
        <v>619</v>
      </c>
      <c r="C46" t="s">
        <v>595</v>
      </c>
      <c r="E46" t="s">
        <v>27</v>
      </c>
    </row>
    <row r="47" spans="1:5" x14ac:dyDescent="0.3">
      <c r="A47" s="4" t="s">
        <v>596</v>
      </c>
      <c r="B47" s="127" t="s">
        <v>620</v>
      </c>
      <c r="C47" t="s">
        <v>596</v>
      </c>
      <c r="E47" t="s">
        <v>27</v>
      </c>
    </row>
    <row r="48" spans="1:5" x14ac:dyDescent="0.3">
      <c r="A48" s="87" t="s">
        <v>603</v>
      </c>
      <c r="B48" s="127" t="s">
        <v>613</v>
      </c>
      <c r="C48" t="s">
        <v>603</v>
      </c>
    </row>
    <row r="49" spans="1:3" x14ac:dyDescent="0.3">
      <c r="A49" s="87" t="s">
        <v>604</v>
      </c>
      <c r="B49" s="127" t="s">
        <v>614</v>
      </c>
      <c r="C49" t="s">
        <v>604</v>
      </c>
    </row>
    <row r="50" spans="1:3" x14ac:dyDescent="0.3">
      <c r="A50" s="87" t="s">
        <v>605</v>
      </c>
      <c r="B50" s="127" t="s">
        <v>615</v>
      </c>
      <c r="C50" t="s">
        <v>605</v>
      </c>
    </row>
    <row r="51" spans="1:3" x14ac:dyDescent="0.3">
      <c r="A51" s="87" t="s">
        <v>606</v>
      </c>
      <c r="B51" s="127" t="s">
        <v>616</v>
      </c>
      <c r="C51" t="s">
        <v>606</v>
      </c>
    </row>
    <row r="52" spans="1:3" x14ac:dyDescent="0.3">
      <c r="A52" s="87" t="s">
        <v>607</v>
      </c>
      <c r="B52" s="127" t="s">
        <v>617</v>
      </c>
      <c r="C52" t="s">
        <v>607</v>
      </c>
    </row>
    <row r="53" spans="1:3" x14ac:dyDescent="0.3">
      <c r="A53" s="87" t="s">
        <v>608</v>
      </c>
      <c r="B53" s="127" t="s">
        <v>618</v>
      </c>
      <c r="C53" t="s">
        <v>608</v>
      </c>
    </row>
    <row r="54" spans="1:3" x14ac:dyDescent="0.3">
      <c r="A54" s="24"/>
    </row>
  </sheetData>
  <dataValidations count="5">
    <dataValidation type="textLength" allowBlank="1" showInputMessage="1" showErrorMessage="1" errorTitle="4000 character limit" error="Maximum number of characters allowed is 4000." promptTitle="Enter Description Label" prompt="Enter a description or definition for this item. The description should give an explanation of the data element and the value(s) it captures. It is not shown on the CRF but is in the data dictionary. It should be 1 to 4000 characters long. REQUIRED" sqref="B1" xr:uid="{79462EA4-2091-474D-B06D-ED53C31ABF16}">
      <formula1>1</formula1>
      <formula2>4000</formula2>
    </dataValidation>
    <dataValidation type="textLength" allowBlank="1" showInputMessage="1" showErrorMessage="1" errorTitle="255 character limit" error="Maximum of 255 characters is allowed" promptTitle="Enter Item Name" prompt="Enter the Item Name. This is the unique label or variable name for this data element and should be letters and numbers and no spaces. It should be 1 to 255 characters long. This field is required and must be unique within the spreadsheet. REQUIRED" sqref="A1" xr:uid="{1FA686F6-B73A-4F05-878D-5A54269EFBF6}">
      <formula1>1</formula1>
      <formula2>255</formula2>
    </dataValidation>
    <dataValidation type="textLength" allowBlank="1" showInputMessage="1" showErrorMessage="1" promptTitle="Enter Response Options Text" prompt="Enter a list of the text values of the responses for this response set as a comma-delimited string. Must be 1 to 4000 characters long. It is required for each unique response label but not for previously used response labels." sqref="D1" xr:uid="{C9D4878C-7B02-4ED8-AB75-94D84A1F40FD}">
      <formula1>0</formula1>
      <formula2>4000</formula2>
    </dataValidation>
    <dataValidation type="textLength" allowBlank="1" showInputMessage="1" showErrorMessage="1" promptTitle="Enter Response Label" prompt="Create a custom label associated with a response set. This label must be defined once and may be reused by other items with the same responses (eg Yes, No). Must be alphanumeric, 1 and 80 characters long, and is required for each unique response set. " sqref="C1" xr:uid="{63CD533B-E581-4224-9711-0491A7D80C81}">
      <formula1>0</formula1>
      <formula2>80</formula2>
    </dataValidation>
    <dataValidation type="list" allowBlank="1" showInputMessage="1" showErrorMessage="1" promptTitle="Enter Data Type" prompt="Enter the data type of this item. You must enter a valid data type from the following list:_x000a_ST (Character String)_x000a_INT (Integer)_x000a_REAL (Real Number)_x000a_DATE _x000a_PDATE_x000a_FILE_x000a_" sqref="E1" xr:uid="{844A237A-7092-4788-A9B9-1D9D8F358C9B}">
      <formula1>"ST, INT, REAL, DATE,FILE,PDATE"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c7f8e97-d498-444c-86f3-81da06758a60" xsi:nil="true"/>
    <lcf76f155ced4ddcb4097134ff3c332f xmlns="f17f1174-d25d-4789-a9ca-e850b60f4d7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5D3151BA746734E882EE3AEAC3B9F1A" ma:contentTypeVersion="18" ma:contentTypeDescription="Create a new document." ma:contentTypeScope="" ma:versionID="a4c5afb096380e2625a39533303d60a9">
  <xsd:schema xmlns:xsd="http://www.w3.org/2001/XMLSchema" xmlns:xs="http://www.w3.org/2001/XMLSchema" xmlns:p="http://schemas.microsoft.com/office/2006/metadata/properties" xmlns:ns2="0c7f8e97-d498-444c-86f3-81da06758a60" xmlns:ns3="f17f1174-d25d-4789-a9ca-e850b60f4d7f" targetNamespace="http://schemas.microsoft.com/office/2006/metadata/properties" ma:root="true" ma:fieldsID="1e4f9b1355913e243af2754668c8df37" ns2:_="" ns3:_="">
    <xsd:import namespace="0c7f8e97-d498-444c-86f3-81da06758a60"/>
    <xsd:import namespace="f17f1174-d25d-4789-a9ca-e850b60f4d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7f8e97-d498-444c-86f3-81da06758a6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271a257-948f-4627-bdf8-2a766e8ba9a6}" ma:internalName="TaxCatchAll" ma:showField="CatchAllData" ma:web="0c7f8e97-d498-444c-86f3-81da06758a6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17f1174-d25d-4789-a9ca-e850b60f4d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c598109-59a2-4592-852e-db50c3cd26e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F839E7-6730-4F3A-8D0B-2DC318497334}">
  <ds:schemaRefs>
    <ds:schemaRef ds:uri="http://purl.org/dc/elements/1.1/"/>
    <ds:schemaRef ds:uri="http://purl.org/dc/terms/"/>
    <ds:schemaRef ds:uri="http://www.w3.org/XML/1998/namespace"/>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schemas.microsoft.com/office/infopath/2007/PartnerControls"/>
    <ds:schemaRef ds:uri="f17f1174-d25d-4789-a9ca-e850b60f4d7f"/>
    <ds:schemaRef ds:uri="0c7f8e97-d498-444c-86f3-81da06758a60"/>
  </ds:schemaRefs>
</ds:datastoreItem>
</file>

<file path=customXml/itemProps2.xml><?xml version="1.0" encoding="utf-8"?>
<ds:datastoreItem xmlns:ds="http://schemas.openxmlformats.org/officeDocument/2006/customXml" ds:itemID="{5035D227-C297-43ED-B175-CA0DEDF800B0}">
  <ds:schemaRefs>
    <ds:schemaRef ds:uri="http://schemas.microsoft.com/sharepoint/v3/contenttype/forms"/>
  </ds:schemaRefs>
</ds:datastoreItem>
</file>

<file path=customXml/itemProps3.xml><?xml version="1.0" encoding="utf-8"?>
<ds:datastoreItem xmlns:ds="http://schemas.openxmlformats.org/officeDocument/2006/customXml" ds:itemID="{890758D2-C174-4E30-91B9-5854D99B31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7f8e97-d498-444c-86f3-81da06758a60"/>
    <ds:schemaRef ds:uri="f17f1174-d25d-4789-a9ca-e850b60f4d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evSCAs</vt:lpstr>
      <vt:lpstr>evSCAs - Data dictionary</vt:lpstr>
      <vt:lpstr>ivSCAs</vt:lpstr>
      <vt:lpstr>ivSCAs - LM staging data</vt:lpstr>
      <vt:lpstr>ivSCAs-DelayAge_35-40hpi_G0</vt:lpstr>
      <vt:lpstr>ivSCAs-DelayAge_35-40hpi_G1</vt:lpstr>
      <vt:lpstr>ivSCAs-SupplementaryTable2 data</vt:lpstr>
      <vt:lpstr>ivSCAs - Data dictionary</vt:lpstr>
      <vt:lpstr>Ig detection</vt:lpstr>
      <vt:lpstr>Ig detection- 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Yasmina Drissi El Boukili</cp:lastModifiedBy>
  <dcterms:created xsi:type="dcterms:W3CDTF">2026-01-14T12:43:26Z</dcterms:created>
  <dcterms:modified xsi:type="dcterms:W3CDTF">2026-01-26T15:26:51Z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0x010100D5D3151BA746734E882EE3AEAC3B9F1A</vt:lpwstr>
  </property>
  <property fmtid="{D5CDD505-2E9C-101B-9397-08002B2CF9AE}" pid="3" name="MediaServiceImageTags">
    <vt:lpwstr/>
  </property>
</Properties>
</file>